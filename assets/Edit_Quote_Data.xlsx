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drive\testautomation\assets\"/>
    </mc:Choice>
  </mc:AlternateContent>
  <xr:revisionPtr revIDLastSave="0" documentId="13_ncr:1_{95F3A769-89CA-4067-B4AE-1754EC4F04C6}" xr6:coauthVersionLast="47" xr6:coauthVersionMax="47" xr10:uidLastSave="{00000000-0000-0000-0000-000000000000}"/>
  <bookViews>
    <workbookView xWindow="19090" yWindow="-110" windowWidth="38620" windowHeight="21100" tabRatio="941" firstSheet="30" activeTab="39" xr2:uid="{EBD8C1B8-9539-4D35-9506-12099A3F2D18}"/>
  </bookViews>
  <sheets>
    <sheet name="EQG Calculation" sheetId="5" r:id="rId1"/>
    <sheet name="EQG 3v9" sheetId="27" r:id="rId2"/>
    <sheet name="EQG Data with Item Types" sheetId="23" r:id="rId3"/>
    <sheet name="EQG Calculation 2" sheetId="16" r:id="rId4"/>
    <sheet name="EQG Demo Int qa" sheetId="38" r:id="rId5"/>
    <sheet name="EQG DemoSales" sheetId="53" r:id="rId6"/>
    <sheet name="Bulk Edit Demo Int qa" sheetId="39" r:id="rId7"/>
    <sheet name="Bulk Edit Demo Sales" sheetId="54" r:id="rId8"/>
    <sheet name="EQG Test Dataset" sheetId="13" r:id="rId9"/>
    <sheet name="Bulk Edit" sheetId="9" r:id="rId10"/>
    <sheet name="Bulk Edit 3v9" sheetId="28" r:id="rId11"/>
    <sheet name="Bulk Edit 2" sheetId="15" r:id="rId12"/>
    <sheet name="Split Boxes" sheetId="10" r:id="rId13"/>
    <sheet name="Split Boxes 2" sheetId="14" r:id="rId14"/>
    <sheet name="Split Boxes 3v9" sheetId="29" r:id="rId15"/>
    <sheet name="Set Grouping" sheetId="25" r:id="rId16"/>
    <sheet name="Set Grouping 3v9" sheetId="31" r:id="rId17"/>
    <sheet name="Set Groupping Demo Int qa" sheetId="40" r:id="rId18"/>
    <sheet name="Set Groupping Demo Sales" sheetId="55" r:id="rId19"/>
    <sheet name="Split Box Demo Int qa" sheetId="41" r:id="rId20"/>
    <sheet name="Split Box Demo Sales" sheetId="56" r:id="rId21"/>
    <sheet name="Master Item  Demo Int qa" sheetId="42" r:id="rId22"/>
    <sheet name="Master Item Demo Sales" sheetId="57" r:id="rId23"/>
    <sheet name="ShipTo" sheetId="11" r:id="rId24"/>
    <sheet name="ShipTo 3v9" sheetId="34" r:id="rId25"/>
    <sheet name="ShipTo Backup" sheetId="22" r:id="rId26"/>
    <sheet name="ShipTo Single Tests" sheetId="12" r:id="rId27"/>
    <sheet name="ShipTo Single Tests 3v9" sheetId="35" r:id="rId28"/>
    <sheet name="Ship To Demo Int Qa" sheetId="48" r:id="rId29"/>
    <sheet name="Ship To DemoSales" sheetId="58" r:id="rId30"/>
    <sheet name="Ship to Single demo Int qa" sheetId="49" r:id="rId31"/>
    <sheet name="Ship to Single demoSales" sheetId="59" r:id="rId32"/>
    <sheet name="Supplier" sheetId="20" r:id="rId33"/>
    <sheet name="Supplier 3v9" sheetId="33" r:id="rId34"/>
    <sheet name="Supplier Single Tests" sheetId="21" r:id="rId35"/>
    <sheet name="Supplier Single Tests 3v9" sheetId="36" r:id="rId36"/>
    <sheet name="Supplier Demo int QA" sheetId="50" r:id="rId37"/>
    <sheet name="Supplier DemoSales" sheetId="60" r:id="rId38"/>
    <sheet name="Supplier Single Demo Int QA" sheetId="51" r:id="rId39"/>
    <sheet name="Supplier Single DemoSales" sheetId="61" r:id="rId40"/>
    <sheet name="Clone Boxes Demo Int qa" sheetId="37" r:id="rId41"/>
    <sheet name="CloneBox DemoSales" sheetId="52" r:id="rId42"/>
    <sheet name="Clone Boxes 3v9" sheetId="30" r:id="rId43"/>
    <sheet name="Master Item GDT" sheetId="17" r:id="rId44"/>
    <sheet name="Master Item" sheetId="19" r:id="rId45"/>
    <sheet name="Master Item 3v9" sheetId="32" r:id="rId46"/>
    <sheet name="Clone Boxes" sheetId="24" r:id="rId47"/>
    <sheet name="Data Backup" sheetId="7" r:id="rId48"/>
  </sheets>
  <definedNames>
    <definedName name="_xlnm._FilterDatabase" localSheetId="0" hidden="1">'EQG Calculation'!$B$1:$B$11</definedName>
    <definedName name="_xlnm._FilterDatabase" localSheetId="8" hidden="1">'EQG Test Dataset'!$A$1:$AB$270</definedName>
    <definedName name="_xlnm._FilterDatabase" localSheetId="44" hidden="1">'Master Item'!$D$1:$D$8</definedName>
    <definedName name="_xlnm._FilterDatabase" localSheetId="23" hidden="1">ShipTo!$C$1:$C$6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38" l="1"/>
  <c r="S8" i="28"/>
  <c r="Q8" i="28"/>
  <c r="S7" i="28"/>
  <c r="Q7" i="28"/>
  <c r="AA6" i="28"/>
  <c r="X6" i="28"/>
  <c r="S6" i="28"/>
  <c r="T6" i="28" s="1"/>
  <c r="Q6" i="28"/>
  <c r="AA5" i="28"/>
  <c r="S5" i="28"/>
  <c r="T5" i="28" s="1"/>
  <c r="Q5" i="28"/>
  <c r="S4" i="28"/>
  <c r="T4" i="28" s="1"/>
  <c r="Q4" i="28"/>
  <c r="S3" i="28"/>
  <c r="T2" i="28"/>
  <c r="S2" i="28"/>
  <c r="Q2" i="28"/>
  <c r="Z11" i="27"/>
  <c r="W11" i="27"/>
  <c r="S11" i="27"/>
  <c r="W10" i="27"/>
  <c r="S10" i="27"/>
  <c r="Z9" i="27"/>
  <c r="W9" i="27"/>
  <c r="Z8" i="27"/>
  <c r="W8" i="27"/>
  <c r="S8" i="27"/>
  <c r="Z7" i="27"/>
  <c r="W7" i="27"/>
  <c r="S7" i="27"/>
  <c r="Z6" i="27"/>
  <c r="W6" i="27"/>
  <c r="S6" i="27"/>
  <c r="Z5" i="27"/>
  <c r="W5" i="27"/>
  <c r="R5" i="27"/>
  <c r="S5" i="27" s="1"/>
  <c r="P5" i="27"/>
  <c r="Y4" i="27"/>
  <c r="R4" i="27"/>
  <c r="S4" i="27" s="1"/>
  <c r="P4" i="27"/>
  <c r="R3" i="27"/>
  <c r="S3" i="27" s="1"/>
  <c r="P3" i="27"/>
  <c r="Z3" i="27" s="1"/>
  <c r="Y3" i="27" s="1"/>
  <c r="Z2" i="27"/>
  <c r="R2" i="27"/>
  <c r="S2" i="27" s="1"/>
  <c r="P2" i="27"/>
  <c r="X6" i="9"/>
  <c r="S6" i="9"/>
  <c r="T6" i="9" s="1"/>
  <c r="T2" i="9"/>
  <c r="T5" i="9"/>
  <c r="S3" i="9"/>
  <c r="S4" i="9"/>
  <c r="S5" i="9"/>
  <c r="S7" i="9"/>
  <c r="S8" i="9"/>
  <c r="Q4" i="9"/>
  <c r="Q5" i="9"/>
  <c r="Q6" i="9"/>
  <c r="Q7" i="9"/>
  <c r="Q8" i="9"/>
  <c r="AA6" i="9"/>
  <c r="AA5" i="9"/>
  <c r="Z11" i="5"/>
  <c r="W11" i="5"/>
  <c r="S11" i="5"/>
  <c r="W10" i="5"/>
  <c r="S10" i="5"/>
  <c r="Z9" i="5"/>
  <c r="W9" i="5"/>
  <c r="Z8" i="5"/>
  <c r="W8" i="5"/>
  <c r="S8" i="5"/>
  <c r="Z7" i="5"/>
  <c r="W7" i="5"/>
  <c r="S7" i="5"/>
  <c r="Z6" i="5"/>
  <c r="W6" i="5"/>
  <c r="S6" i="5"/>
  <c r="Z5" i="5"/>
  <c r="W5" i="5"/>
  <c r="R5" i="5"/>
  <c r="S5" i="5" s="1"/>
  <c r="P5" i="5"/>
  <c r="Y4" i="5"/>
  <c r="S4" i="5"/>
  <c r="R4" i="5"/>
  <c r="P4" i="5"/>
  <c r="R3" i="5"/>
  <c r="S3" i="5" s="1"/>
  <c r="P3" i="5"/>
  <c r="Z3" i="5" s="1"/>
  <c r="Y3" i="5" s="1"/>
  <c r="Z2" i="5"/>
  <c r="R2" i="5"/>
  <c r="S2" i="5" s="1"/>
  <c r="P2" i="5"/>
  <c r="V12" i="23"/>
  <c r="W12" i="23" s="1"/>
  <c r="S12" i="23"/>
  <c r="Z11" i="23"/>
  <c r="W11" i="23"/>
  <c r="S11" i="23"/>
  <c r="W10" i="23"/>
  <c r="S10" i="23"/>
  <c r="Y9" i="23"/>
  <c r="Z9" i="23" s="1"/>
  <c r="Z8" i="23"/>
  <c r="Y8" i="23"/>
  <c r="V8" i="23" s="1"/>
  <c r="W8" i="23" s="1"/>
  <c r="S8" i="23"/>
  <c r="P8" i="23"/>
  <c r="Z7" i="23"/>
  <c r="W7" i="23"/>
  <c r="W6" i="23"/>
  <c r="Z5" i="23"/>
  <c r="W5" i="23"/>
  <c r="S5" i="23"/>
  <c r="R5" i="23"/>
  <c r="P5" i="23"/>
  <c r="Y4" i="23"/>
  <c r="Z4" i="23" s="1"/>
  <c r="S4" i="23"/>
  <c r="R4" i="23"/>
  <c r="P4" i="23"/>
  <c r="Z3" i="23"/>
  <c r="R3" i="23"/>
  <c r="S3" i="23" s="1"/>
  <c r="P3" i="23"/>
  <c r="Z2" i="23"/>
  <c r="S2" i="23"/>
  <c r="R2" i="23"/>
  <c r="P2" i="23"/>
  <c r="X5" i="16"/>
  <c r="Y5" i="16" s="1"/>
  <c r="Q5" i="16"/>
  <c r="R5" i="16" s="1"/>
  <c r="O5" i="16"/>
  <c r="X4" i="16"/>
  <c r="Y4" i="16" s="1"/>
  <c r="Q4" i="16"/>
  <c r="R4" i="16" s="1"/>
  <c r="O4" i="16"/>
  <c r="Y3" i="16"/>
  <c r="Q3" i="16"/>
  <c r="R3" i="16" s="1"/>
  <c r="O3" i="16"/>
  <c r="Y2" i="16"/>
  <c r="Q2" i="16"/>
  <c r="R2" i="16" s="1"/>
  <c r="O2" i="16"/>
  <c r="AA6" i="15"/>
  <c r="S6" i="15"/>
  <c r="T6" i="15" s="1"/>
  <c r="Q6" i="15"/>
  <c r="AA5" i="15"/>
  <c r="S5" i="15"/>
  <c r="T5" i="15" s="1"/>
  <c r="Q5" i="15"/>
  <c r="AA4" i="15"/>
  <c r="X4" i="15" s="1"/>
  <c r="Z4" i="15"/>
  <c r="T4" i="15"/>
  <c r="S4" i="15"/>
  <c r="Q4" i="15"/>
  <c r="AA3" i="15"/>
  <c r="S3" i="15"/>
  <c r="T3" i="15" s="1"/>
  <c r="V3" i="15" s="1"/>
  <c r="Q3" i="15"/>
  <c r="AA2" i="15"/>
  <c r="S2" i="15"/>
  <c r="T2" i="15" s="1"/>
  <c r="V2" i="15" s="1"/>
  <c r="Q2" i="15"/>
  <c r="X5" i="7"/>
  <c r="Y5" i="7" s="1"/>
  <c r="V5" i="7" s="1"/>
  <c r="Q5" i="7"/>
  <c r="R5" i="7" s="1"/>
  <c r="O5" i="7"/>
  <c r="X4" i="7"/>
  <c r="Y4" i="7" s="1"/>
  <c r="V4" i="7" s="1"/>
  <c r="R4" i="7"/>
  <c r="Q4" i="7"/>
  <c r="O4" i="7"/>
  <c r="Y3" i="7"/>
  <c r="R3" i="7"/>
  <c r="Q3" i="7"/>
  <c r="O3" i="7"/>
  <c r="Y2" i="7"/>
  <c r="Q2" i="7"/>
  <c r="R2" i="7" s="1"/>
  <c r="O2" i="7"/>
  <c r="Q270" i="13"/>
  <c r="T270" i="13" s="1"/>
  <c r="Q269" i="13"/>
  <c r="Q268" i="13"/>
  <c r="R268" i="13" s="1"/>
  <c r="Q267" i="13"/>
  <c r="U267" i="13" s="1"/>
  <c r="V267" i="13" s="1"/>
  <c r="Q266" i="13"/>
  <c r="U266" i="13" s="1"/>
  <c r="V266" i="13" s="1"/>
  <c r="Q265" i="13"/>
  <c r="U265" i="13" s="1"/>
  <c r="V265" i="13" s="1"/>
  <c r="Q264" i="13"/>
  <c r="T264" i="13" s="1"/>
  <c r="Q263" i="13"/>
  <c r="P263" i="13" s="1"/>
  <c r="Q262" i="13"/>
  <c r="U262" i="13" s="1"/>
  <c r="V262" i="13" s="1"/>
  <c r="Q261" i="13"/>
  <c r="U261" i="13" s="1"/>
  <c r="V261" i="13" s="1"/>
  <c r="Y260" i="13"/>
  <c r="W260" i="13"/>
  <c r="Q260" i="13"/>
  <c r="R260" i="13" s="1"/>
  <c r="Y259" i="13"/>
  <c r="W259" i="13"/>
  <c r="Q259" i="13"/>
  <c r="P259" i="13" s="1"/>
  <c r="Y258" i="13"/>
  <c r="W258" i="13"/>
  <c r="Q258" i="13"/>
  <c r="R258" i="13" s="1"/>
  <c r="Y257" i="13"/>
  <c r="W257" i="13"/>
  <c r="Q257" i="13"/>
  <c r="U257" i="13" s="1"/>
  <c r="V257" i="13" s="1"/>
  <c r="X256" i="13"/>
  <c r="Y256" i="13" s="1"/>
  <c r="X255" i="13"/>
  <c r="Y255" i="13" s="1"/>
  <c r="X254" i="13"/>
  <c r="Y254" i="13" s="1"/>
  <c r="X253" i="13"/>
  <c r="Y253" i="13" s="1"/>
  <c r="X252" i="13"/>
  <c r="Q252" i="13" s="1"/>
  <c r="V251" i="13"/>
  <c r="Q251" i="13"/>
  <c r="P251" i="13" s="1"/>
  <c r="V250" i="13"/>
  <c r="Q250" i="13"/>
  <c r="P250" i="13" s="1"/>
  <c r="V249" i="13"/>
  <c r="Q249" i="13"/>
  <c r="R249" i="13" s="1"/>
  <c r="V248" i="13"/>
  <c r="Q248" i="13"/>
  <c r="P248" i="13" s="1"/>
  <c r="Q247" i="13"/>
  <c r="R247" i="13" s="1"/>
  <c r="Q246" i="13"/>
  <c r="Q245" i="13"/>
  <c r="R245" i="13" s="1"/>
  <c r="Q244" i="13"/>
  <c r="P244" i="13" s="1"/>
  <c r="Q243" i="13"/>
  <c r="U242" i="13"/>
  <c r="V242" i="13" s="1"/>
  <c r="T242" i="13"/>
  <c r="S242" i="13"/>
  <c r="R242" i="13"/>
  <c r="P242" i="13"/>
  <c r="U241" i="13"/>
  <c r="V241" i="13" s="1"/>
  <c r="T241" i="13"/>
  <c r="S241" i="13"/>
  <c r="R241" i="13"/>
  <c r="P241" i="13"/>
  <c r="U240" i="13"/>
  <c r="V240" i="13" s="1"/>
  <c r="T240" i="13"/>
  <c r="S240" i="13"/>
  <c r="R240" i="13"/>
  <c r="P240" i="13"/>
  <c r="U239" i="13"/>
  <c r="V239" i="13" s="1"/>
  <c r="T239" i="13"/>
  <c r="S239" i="13"/>
  <c r="R239" i="13"/>
  <c r="P239" i="13"/>
  <c r="Q238" i="13"/>
  <c r="T238" i="13" s="1"/>
  <c r="Q237" i="13"/>
  <c r="T237" i="13" s="1"/>
  <c r="Q236" i="13"/>
  <c r="U236" i="13" s="1"/>
  <c r="V236" i="13" s="1"/>
  <c r="Q235" i="13"/>
  <c r="T235" i="13" s="1"/>
  <c r="Q234" i="13"/>
  <c r="T234" i="13" s="1"/>
  <c r="X233" i="13"/>
  <c r="X232" i="13"/>
  <c r="Y232" i="13" s="1"/>
  <c r="X231" i="13"/>
  <c r="U231" i="13" s="1"/>
  <c r="V231" i="13" s="1"/>
  <c r="X230" i="13"/>
  <c r="U230" i="13" s="1"/>
  <c r="V230" i="13" s="1"/>
  <c r="W230" i="13"/>
  <c r="X229" i="13"/>
  <c r="U229" i="13" s="1"/>
  <c r="V229" i="13" s="1"/>
  <c r="Y228" i="13"/>
  <c r="W228" i="13"/>
  <c r="Q228" i="13"/>
  <c r="U228" i="13" s="1"/>
  <c r="V228" i="13" s="1"/>
  <c r="Y227" i="13"/>
  <c r="W227" i="13"/>
  <c r="Q227" i="13"/>
  <c r="U227" i="13" s="1"/>
  <c r="V227" i="13" s="1"/>
  <c r="Y226" i="13"/>
  <c r="W226" i="13"/>
  <c r="Q226" i="13"/>
  <c r="U226" i="13" s="1"/>
  <c r="V226" i="13" s="1"/>
  <c r="Y225" i="13"/>
  <c r="W225" i="13"/>
  <c r="Q225" i="13"/>
  <c r="R225" i="13" s="1"/>
  <c r="X224" i="13"/>
  <c r="Y224" i="13" s="1"/>
  <c r="X223" i="13"/>
  <c r="Q223" i="13" s="1"/>
  <c r="X222" i="13"/>
  <c r="Y222" i="13" s="1"/>
  <c r="Q222" i="13"/>
  <c r="R222" i="13" s="1"/>
  <c r="X221" i="13"/>
  <c r="Q221" i="13" s="1"/>
  <c r="X220" i="13"/>
  <c r="Y220" i="13" s="1"/>
  <c r="Q220" i="13"/>
  <c r="U220" i="13" s="1"/>
  <c r="V220" i="13" s="1"/>
  <c r="X219" i="13"/>
  <c r="T219" i="13" s="1"/>
  <c r="V219" i="13"/>
  <c r="X218" i="13"/>
  <c r="Y218" i="13" s="1"/>
  <c r="V218" i="13"/>
  <c r="X217" i="13"/>
  <c r="T217" i="13" s="1"/>
  <c r="V217" i="13"/>
  <c r="X216" i="13"/>
  <c r="W216" i="13" s="1"/>
  <c r="V216" i="13"/>
  <c r="X215" i="13"/>
  <c r="U215" i="13" s="1"/>
  <c r="V215" i="13" s="1"/>
  <c r="X214" i="13"/>
  <c r="Y214" i="13" s="1"/>
  <c r="X213" i="13"/>
  <c r="U213" i="13" s="1"/>
  <c r="V213" i="13" s="1"/>
  <c r="X212" i="13"/>
  <c r="Y212" i="13" s="1"/>
  <c r="X211" i="13"/>
  <c r="U211" i="13" s="1"/>
  <c r="V211" i="13" s="1"/>
  <c r="W211" i="13"/>
  <c r="U210" i="13"/>
  <c r="V210" i="13" s="1"/>
  <c r="T210" i="13"/>
  <c r="S210" i="13"/>
  <c r="R210" i="13"/>
  <c r="P210" i="13"/>
  <c r="U209" i="13"/>
  <c r="V209" i="13" s="1"/>
  <c r="T209" i="13"/>
  <c r="S209" i="13"/>
  <c r="R209" i="13"/>
  <c r="P209" i="13"/>
  <c r="U208" i="13"/>
  <c r="V208" i="13" s="1"/>
  <c r="T208" i="13"/>
  <c r="S208" i="13"/>
  <c r="R208" i="13"/>
  <c r="P208" i="13"/>
  <c r="U207" i="13"/>
  <c r="V207" i="13" s="1"/>
  <c r="T207" i="13"/>
  <c r="S207" i="13"/>
  <c r="R207" i="13"/>
  <c r="P207" i="13"/>
  <c r="Q206" i="13"/>
  <c r="X206" i="13" s="1"/>
  <c r="Y206" i="13" s="1"/>
  <c r="Q205" i="13"/>
  <c r="R205" i="13" s="1"/>
  <c r="Q204" i="13"/>
  <c r="X204" i="13" s="1"/>
  <c r="Y204" i="13" s="1"/>
  <c r="Q203" i="13"/>
  <c r="X203" i="13" s="1"/>
  <c r="U203" i="13" s="1"/>
  <c r="V203" i="13" s="1"/>
  <c r="Q202" i="13"/>
  <c r="X202" i="13" s="1"/>
  <c r="Q201" i="13"/>
  <c r="R201" i="13" s="1"/>
  <c r="Q200" i="13"/>
  <c r="P200" i="13" s="1"/>
  <c r="Q199" i="13"/>
  <c r="R199" i="13" s="1"/>
  <c r="Q198" i="13"/>
  <c r="P198" i="13" s="1"/>
  <c r="Q197" i="13"/>
  <c r="P197" i="13" s="1"/>
  <c r="Y196" i="13"/>
  <c r="W196" i="13"/>
  <c r="Q196" i="13"/>
  <c r="U196" i="13" s="1"/>
  <c r="V196" i="13" s="1"/>
  <c r="Y195" i="13"/>
  <c r="W195" i="13"/>
  <c r="Q195" i="13"/>
  <c r="R195" i="13" s="1"/>
  <c r="Y194" i="13"/>
  <c r="W194" i="13"/>
  <c r="Q194" i="13"/>
  <c r="P194" i="13" s="1"/>
  <c r="Y193" i="13"/>
  <c r="W193" i="13"/>
  <c r="Q193" i="13"/>
  <c r="U193" i="13" s="1"/>
  <c r="V193" i="13" s="1"/>
  <c r="X192" i="13"/>
  <c r="Y192" i="13" s="1"/>
  <c r="Q192" i="13"/>
  <c r="R192" i="13" s="1"/>
  <c r="X191" i="13"/>
  <c r="Y191" i="13" s="1"/>
  <c r="X190" i="13"/>
  <c r="Y190" i="13" s="1"/>
  <c r="X189" i="13"/>
  <c r="Q189" i="13" s="1"/>
  <c r="X188" i="13"/>
  <c r="Y188" i="13" s="1"/>
  <c r="V187" i="13"/>
  <c r="Q187" i="13"/>
  <c r="S187" i="13" s="1"/>
  <c r="V186" i="13"/>
  <c r="Q186" i="13"/>
  <c r="T186" i="13" s="1"/>
  <c r="V185" i="13"/>
  <c r="Q185" i="13"/>
  <c r="P185" i="13" s="1"/>
  <c r="V184" i="13"/>
  <c r="Q184" i="13"/>
  <c r="T184" i="13" s="1"/>
  <c r="Q183" i="13"/>
  <c r="S183" i="13" s="1"/>
  <c r="Q182" i="13"/>
  <c r="U182" i="13" s="1"/>
  <c r="V182" i="13" s="1"/>
  <c r="Q181" i="13"/>
  <c r="S181" i="13" s="1"/>
  <c r="Q180" i="13"/>
  <c r="U180" i="13" s="1"/>
  <c r="V180" i="13" s="1"/>
  <c r="Q179" i="13"/>
  <c r="P179" i="13" s="1"/>
  <c r="X178" i="13"/>
  <c r="Y178" i="13" s="1"/>
  <c r="R178" i="13"/>
  <c r="P178" i="13"/>
  <c r="X177" i="13"/>
  <c r="U177" i="13" s="1"/>
  <c r="V177" i="13" s="1"/>
  <c r="R177" i="13"/>
  <c r="P177" i="13"/>
  <c r="X176" i="13"/>
  <c r="R176" i="13"/>
  <c r="P176" i="13"/>
  <c r="X175" i="13"/>
  <c r="Y175" i="13" s="1"/>
  <c r="R175" i="13"/>
  <c r="P175" i="13"/>
  <c r="Q174" i="13"/>
  <c r="X174" i="13" s="1"/>
  <c r="Q173" i="13"/>
  <c r="R173" i="13" s="1"/>
  <c r="Q172" i="13"/>
  <c r="R172" i="13" s="1"/>
  <c r="Q171" i="13"/>
  <c r="X171" i="13" s="1"/>
  <c r="Y171" i="13" s="1"/>
  <c r="Q170" i="13"/>
  <c r="X170" i="13" s="1"/>
  <c r="X169" i="13"/>
  <c r="T169" i="13" s="1"/>
  <c r="X168" i="13"/>
  <c r="Y168" i="13" s="1"/>
  <c r="X167" i="13"/>
  <c r="W167" i="13" s="1"/>
  <c r="X166" i="13"/>
  <c r="Y166" i="13" s="1"/>
  <c r="X165" i="13"/>
  <c r="T165" i="13" s="1"/>
  <c r="Y164" i="13"/>
  <c r="W164" i="13"/>
  <c r="Q164" i="13"/>
  <c r="U164" i="13" s="1"/>
  <c r="V164" i="13" s="1"/>
  <c r="Y163" i="13"/>
  <c r="W163" i="13"/>
  <c r="Q163" i="13"/>
  <c r="U163" i="13" s="1"/>
  <c r="V163" i="13" s="1"/>
  <c r="Y162" i="13"/>
  <c r="W162" i="13"/>
  <c r="Q162" i="13"/>
  <c r="P162" i="13" s="1"/>
  <c r="Y161" i="13"/>
  <c r="W161" i="13"/>
  <c r="Q161" i="13"/>
  <c r="R161" i="13" s="1"/>
  <c r="X160" i="13"/>
  <c r="Y160" i="13" s="1"/>
  <c r="X159" i="13"/>
  <c r="Q159" i="13" s="1"/>
  <c r="X158" i="13"/>
  <c r="Q158" i="13" s="1"/>
  <c r="P158" i="13" s="1"/>
  <c r="X157" i="13"/>
  <c r="X156" i="13"/>
  <c r="X155" i="13"/>
  <c r="Y155" i="13" s="1"/>
  <c r="V155" i="13"/>
  <c r="X154" i="13"/>
  <c r="Y154" i="13" s="1"/>
  <c r="V154" i="13"/>
  <c r="X153" i="13"/>
  <c r="V153" i="13"/>
  <c r="X152" i="13"/>
  <c r="V152" i="13"/>
  <c r="X151" i="13"/>
  <c r="S151" i="13" s="1"/>
  <c r="X150" i="13"/>
  <c r="Y150" i="13" s="1"/>
  <c r="X149" i="13"/>
  <c r="S149" i="13" s="1"/>
  <c r="X148" i="13"/>
  <c r="Y148" i="13" s="1"/>
  <c r="X147" i="13"/>
  <c r="Y147" i="13" s="1"/>
  <c r="X146" i="13"/>
  <c r="Y146" i="13" s="1"/>
  <c r="R146" i="13"/>
  <c r="P146" i="13"/>
  <c r="X145" i="13"/>
  <c r="Y145" i="13" s="1"/>
  <c r="R145" i="13"/>
  <c r="P145" i="13"/>
  <c r="X144" i="13"/>
  <c r="U144" i="13" s="1"/>
  <c r="V144" i="13" s="1"/>
  <c r="R144" i="13"/>
  <c r="P144" i="13"/>
  <c r="X143" i="13"/>
  <c r="W143" i="13" s="1"/>
  <c r="R143" i="13"/>
  <c r="P143" i="13"/>
  <c r="Q142" i="13"/>
  <c r="U142" i="13" s="1"/>
  <c r="V142" i="13" s="1"/>
  <c r="Q141" i="13"/>
  <c r="R141" i="13" s="1"/>
  <c r="Q140" i="13"/>
  <c r="U140" i="13" s="1"/>
  <c r="V140" i="13" s="1"/>
  <c r="Q139" i="13"/>
  <c r="R139" i="13" s="1"/>
  <c r="Q138" i="13"/>
  <c r="U138" i="13" s="1"/>
  <c r="V138" i="13" s="1"/>
  <c r="Q137" i="13"/>
  <c r="T137" i="13" s="1"/>
  <c r="Q136" i="13"/>
  <c r="U136" i="13" s="1"/>
  <c r="V136" i="13" s="1"/>
  <c r="Q135" i="13"/>
  <c r="U135" i="13" s="1"/>
  <c r="V135" i="13" s="1"/>
  <c r="Q134" i="13"/>
  <c r="U134" i="13" s="1"/>
  <c r="V134" i="13" s="1"/>
  <c r="Q133" i="13"/>
  <c r="U133" i="13" s="1"/>
  <c r="V133" i="13" s="1"/>
  <c r="Y132" i="13"/>
  <c r="W132" i="13"/>
  <c r="U132" i="13"/>
  <c r="V132" i="13" s="1"/>
  <c r="T132" i="13"/>
  <c r="S132" i="13"/>
  <c r="Y131" i="13"/>
  <c r="W131" i="13"/>
  <c r="U131" i="13"/>
  <c r="V131" i="13" s="1"/>
  <c r="T131" i="13"/>
  <c r="S131" i="13"/>
  <c r="Y130" i="13"/>
  <c r="W130" i="13"/>
  <c r="U130" i="13"/>
  <c r="V130" i="13" s="1"/>
  <c r="T130" i="13"/>
  <c r="S130" i="13"/>
  <c r="Y129" i="13"/>
  <c r="W129" i="13"/>
  <c r="U129" i="13"/>
  <c r="V129" i="13" s="1"/>
  <c r="T129" i="13"/>
  <c r="S129" i="13"/>
  <c r="X128" i="13"/>
  <c r="Y128" i="13" s="1"/>
  <c r="X127" i="13"/>
  <c r="Y127" i="13" s="1"/>
  <c r="X126" i="13"/>
  <c r="Y126" i="13" s="1"/>
  <c r="X125" i="13"/>
  <c r="Y125" i="13" s="1"/>
  <c r="X124" i="13"/>
  <c r="U124" i="13"/>
  <c r="V124" i="13" s="1"/>
  <c r="V123" i="13"/>
  <c r="Q123" i="13"/>
  <c r="R123" i="13" s="1"/>
  <c r="V122" i="13"/>
  <c r="Q122" i="13"/>
  <c r="T122" i="13" s="1"/>
  <c r="V121" i="13"/>
  <c r="Q121" i="13"/>
  <c r="P121" i="13" s="1"/>
  <c r="V120" i="13"/>
  <c r="Q120" i="13"/>
  <c r="T120" i="13" s="1"/>
  <c r="Q119" i="13"/>
  <c r="S119" i="13" s="1"/>
  <c r="Q118" i="13"/>
  <c r="U118" i="13" s="1"/>
  <c r="V118" i="13" s="1"/>
  <c r="Q117" i="13"/>
  <c r="U117" i="13" s="1"/>
  <c r="V117" i="13" s="1"/>
  <c r="Q116" i="13"/>
  <c r="U116" i="13" s="1"/>
  <c r="V116" i="13" s="1"/>
  <c r="Q115" i="13"/>
  <c r="U115" i="13" s="1"/>
  <c r="V115" i="13" s="1"/>
  <c r="U114" i="13"/>
  <c r="V114" i="13" s="1"/>
  <c r="T114" i="13"/>
  <c r="S114" i="13"/>
  <c r="R114" i="13"/>
  <c r="P114" i="13"/>
  <c r="U113" i="13"/>
  <c r="V113" i="13" s="1"/>
  <c r="T113" i="13"/>
  <c r="S113" i="13"/>
  <c r="R113" i="13"/>
  <c r="P113" i="13"/>
  <c r="U112" i="13"/>
  <c r="V112" i="13" s="1"/>
  <c r="T112" i="13"/>
  <c r="S112" i="13"/>
  <c r="R112" i="13"/>
  <c r="P112" i="13"/>
  <c r="U111" i="13"/>
  <c r="V111" i="13" s="1"/>
  <c r="T111" i="13"/>
  <c r="S111" i="13"/>
  <c r="R111" i="13"/>
  <c r="P111" i="13"/>
  <c r="Q110" i="13"/>
  <c r="U110" i="13" s="1"/>
  <c r="V110" i="13" s="1"/>
  <c r="Q109" i="13"/>
  <c r="U109" i="13" s="1"/>
  <c r="V109" i="13" s="1"/>
  <c r="Q108" i="13"/>
  <c r="U108" i="13" s="1"/>
  <c r="V108" i="13" s="1"/>
  <c r="Q107" i="13"/>
  <c r="S107" i="13" s="1"/>
  <c r="Q106" i="13"/>
  <c r="U106" i="13" s="1"/>
  <c r="V106" i="13" s="1"/>
  <c r="X105" i="13"/>
  <c r="T105" i="13" s="1"/>
  <c r="X104" i="13"/>
  <c r="Y104" i="13" s="1"/>
  <c r="X103" i="13"/>
  <c r="U103" i="13" s="1"/>
  <c r="V103" i="13" s="1"/>
  <c r="X102" i="13"/>
  <c r="Y102" i="13" s="1"/>
  <c r="X101" i="13"/>
  <c r="Y101" i="13" s="1"/>
  <c r="Y100" i="13"/>
  <c r="W100" i="13"/>
  <c r="U100" i="13"/>
  <c r="V100" i="13" s="1"/>
  <c r="T100" i="13"/>
  <c r="S100" i="13"/>
  <c r="Y99" i="13"/>
  <c r="W99" i="13"/>
  <c r="U99" i="13"/>
  <c r="V99" i="13" s="1"/>
  <c r="T99" i="13"/>
  <c r="S99" i="13"/>
  <c r="Y98" i="13"/>
  <c r="W98" i="13"/>
  <c r="U98" i="13"/>
  <c r="V98" i="13" s="1"/>
  <c r="T98" i="13"/>
  <c r="S98" i="13"/>
  <c r="Y97" i="13"/>
  <c r="W97" i="13"/>
  <c r="U97" i="13"/>
  <c r="V97" i="13" s="1"/>
  <c r="T97" i="13"/>
  <c r="S97" i="13"/>
  <c r="X96" i="13"/>
  <c r="X95" i="13"/>
  <c r="S95" i="13" s="1"/>
  <c r="U95" i="13"/>
  <c r="V95" i="13" s="1"/>
  <c r="X94" i="13"/>
  <c r="Y94" i="13" s="1"/>
  <c r="X93" i="13"/>
  <c r="Y93" i="13" s="1"/>
  <c r="X92" i="13"/>
  <c r="Y92" i="13" s="1"/>
  <c r="X91" i="13"/>
  <c r="Y91" i="13" s="1"/>
  <c r="V91" i="13"/>
  <c r="X90" i="13"/>
  <c r="Y90" i="13" s="1"/>
  <c r="V90" i="13"/>
  <c r="X89" i="13"/>
  <c r="Y89" i="13" s="1"/>
  <c r="V89" i="13"/>
  <c r="X88" i="13"/>
  <c r="Y88" i="13" s="1"/>
  <c r="V88" i="13"/>
  <c r="X87" i="13"/>
  <c r="Y87" i="13" s="1"/>
  <c r="X86" i="13"/>
  <c r="Y86" i="13" s="1"/>
  <c r="X85" i="13"/>
  <c r="W85" i="13" s="1"/>
  <c r="X84" i="13"/>
  <c r="Y84" i="13" s="1"/>
  <c r="X83" i="13"/>
  <c r="Y83" i="13" s="1"/>
  <c r="U82" i="13"/>
  <c r="V82" i="13" s="1"/>
  <c r="T82" i="13"/>
  <c r="S82" i="13"/>
  <c r="R82" i="13"/>
  <c r="P82" i="13"/>
  <c r="U81" i="13"/>
  <c r="V81" i="13" s="1"/>
  <c r="T81" i="13"/>
  <c r="S81" i="13"/>
  <c r="R81" i="13"/>
  <c r="P81" i="13"/>
  <c r="U80" i="13"/>
  <c r="V80" i="13" s="1"/>
  <c r="T80" i="13"/>
  <c r="S80" i="13"/>
  <c r="R80" i="13"/>
  <c r="P80" i="13"/>
  <c r="U79" i="13"/>
  <c r="V79" i="13" s="1"/>
  <c r="T79" i="13"/>
  <c r="S79" i="13"/>
  <c r="R79" i="13"/>
  <c r="P79" i="13"/>
  <c r="Q78" i="13"/>
  <c r="X78" i="13" s="1"/>
  <c r="Y78" i="13" s="1"/>
  <c r="Q77" i="13"/>
  <c r="R77" i="13" s="1"/>
  <c r="Q76" i="13"/>
  <c r="Q75" i="13"/>
  <c r="X75" i="13" s="1"/>
  <c r="Q74" i="13"/>
  <c r="Q73" i="13"/>
  <c r="R73" i="13" s="1"/>
  <c r="Q72" i="13"/>
  <c r="U72" i="13" s="1"/>
  <c r="V72" i="13" s="1"/>
  <c r="Q71" i="13"/>
  <c r="R71" i="13" s="1"/>
  <c r="Q70" i="13"/>
  <c r="T70" i="13" s="1"/>
  <c r="Q69" i="13"/>
  <c r="R69" i="13" s="1"/>
  <c r="Y68" i="13"/>
  <c r="W68" i="13"/>
  <c r="U68" i="13"/>
  <c r="V68" i="13" s="1"/>
  <c r="T68" i="13"/>
  <c r="S68" i="13"/>
  <c r="Y67" i="13"/>
  <c r="W67" i="13"/>
  <c r="U67" i="13"/>
  <c r="V67" i="13" s="1"/>
  <c r="T67" i="13"/>
  <c r="S67" i="13"/>
  <c r="Y66" i="13"/>
  <c r="W66" i="13"/>
  <c r="U66" i="13"/>
  <c r="V66" i="13" s="1"/>
  <c r="T66" i="13"/>
  <c r="S66" i="13"/>
  <c r="Y65" i="13"/>
  <c r="W65" i="13"/>
  <c r="U65" i="13"/>
  <c r="V65" i="13" s="1"/>
  <c r="T65" i="13"/>
  <c r="S65" i="13"/>
  <c r="X64" i="13"/>
  <c r="S64" i="13" s="1"/>
  <c r="X63" i="13"/>
  <c r="T63" i="13" s="1"/>
  <c r="X62" i="13"/>
  <c r="X61" i="13"/>
  <c r="Y61" i="13" s="1"/>
  <c r="X60" i="13"/>
  <c r="S60" i="13" s="1"/>
  <c r="V59" i="13"/>
  <c r="Q59" i="13"/>
  <c r="T59" i="13" s="1"/>
  <c r="V58" i="13"/>
  <c r="Q58" i="13"/>
  <c r="V57" i="13"/>
  <c r="Q57" i="13"/>
  <c r="T57" i="13" s="1"/>
  <c r="V56" i="13"/>
  <c r="Q56" i="13"/>
  <c r="T56" i="13" s="1"/>
  <c r="Q55" i="13"/>
  <c r="S55" i="13" s="1"/>
  <c r="Q54" i="13"/>
  <c r="U54" i="13" s="1"/>
  <c r="V54" i="13" s="1"/>
  <c r="Q53" i="13"/>
  <c r="R53" i="13" s="1"/>
  <c r="Q52" i="13"/>
  <c r="Q51" i="13"/>
  <c r="U51" i="13" s="1"/>
  <c r="V51" i="13" s="1"/>
  <c r="X50" i="13"/>
  <c r="Y50" i="13" s="1"/>
  <c r="R50" i="13"/>
  <c r="P50" i="13"/>
  <c r="X49" i="13"/>
  <c r="Y49" i="13" s="1"/>
  <c r="R49" i="13"/>
  <c r="P49" i="13"/>
  <c r="X48" i="13"/>
  <c r="R48" i="13"/>
  <c r="P48" i="13"/>
  <c r="X47" i="13"/>
  <c r="Y47" i="13" s="1"/>
  <c r="R47" i="13"/>
  <c r="P47" i="13"/>
  <c r="X46" i="13"/>
  <c r="S46" i="13" s="1"/>
  <c r="X45" i="13"/>
  <c r="Y45" i="13" s="1"/>
  <c r="X44" i="13"/>
  <c r="S44" i="13" s="1"/>
  <c r="X43" i="13"/>
  <c r="Y43" i="13" s="1"/>
  <c r="X42" i="13"/>
  <c r="S42" i="13" s="1"/>
  <c r="X41" i="13"/>
  <c r="Y41" i="13" s="1"/>
  <c r="X40" i="13"/>
  <c r="S40" i="13" s="1"/>
  <c r="X39" i="13"/>
  <c r="Y39" i="13" s="1"/>
  <c r="X38" i="13"/>
  <c r="S38" i="13" s="1"/>
  <c r="X37" i="13"/>
  <c r="Y37" i="13" s="1"/>
  <c r="W37" i="13"/>
  <c r="V37" i="13"/>
  <c r="X36" i="13"/>
  <c r="S36" i="13" s="1"/>
  <c r="V36" i="13"/>
  <c r="X35" i="13"/>
  <c r="Y35" i="13" s="1"/>
  <c r="V35" i="13"/>
  <c r="X34" i="13"/>
  <c r="V34" i="13"/>
  <c r="Y33" i="13"/>
  <c r="W33" i="13"/>
  <c r="U33" i="13"/>
  <c r="V33" i="13" s="1"/>
  <c r="T33" i="13"/>
  <c r="S33" i="13"/>
  <c r="Y32" i="13"/>
  <c r="W32" i="13"/>
  <c r="U32" i="13"/>
  <c r="V32" i="13" s="1"/>
  <c r="T32" i="13"/>
  <c r="S32" i="13"/>
  <c r="Y31" i="13"/>
  <c r="W31" i="13"/>
  <c r="U31" i="13"/>
  <c r="V31" i="13" s="1"/>
  <c r="T31" i="13"/>
  <c r="S31" i="13"/>
  <c r="Y30" i="13"/>
  <c r="W30" i="13"/>
  <c r="U30" i="13"/>
  <c r="V30" i="13" s="1"/>
  <c r="T30" i="13"/>
  <c r="S30" i="13"/>
  <c r="Y29" i="13"/>
  <c r="W29" i="13"/>
  <c r="U29" i="13"/>
  <c r="V29" i="13" s="1"/>
  <c r="T29" i="13"/>
  <c r="S29" i="13"/>
  <c r="Y28" i="13"/>
  <c r="W28" i="13"/>
  <c r="U28" i="13"/>
  <c r="V28" i="13" s="1"/>
  <c r="T28" i="13"/>
  <c r="S28" i="13"/>
  <c r="O28" i="13"/>
  <c r="X27" i="13"/>
  <c r="Y27" i="13" s="1"/>
  <c r="O27" i="13"/>
  <c r="X26" i="13"/>
  <c r="U26" i="13" s="1"/>
  <c r="V26" i="13" s="1"/>
  <c r="O26" i="13"/>
  <c r="X25" i="13"/>
  <c r="Y25" i="13" s="1"/>
  <c r="O25" i="13"/>
  <c r="X24" i="13"/>
  <c r="O24" i="13"/>
  <c r="Q23" i="13"/>
  <c r="O23" i="13"/>
  <c r="Q22" i="13"/>
  <c r="O22" i="13"/>
  <c r="Q21" i="13"/>
  <c r="X21" i="13" s="1"/>
  <c r="O21" i="13"/>
  <c r="Q20" i="13"/>
  <c r="O20" i="13"/>
  <c r="Q19" i="13"/>
  <c r="O19" i="13"/>
  <c r="Q18" i="13"/>
  <c r="X18" i="13" s="1"/>
  <c r="O18" i="13"/>
  <c r="X17" i="13"/>
  <c r="Y17" i="13" s="1"/>
  <c r="R17" i="13"/>
  <c r="P17" i="13"/>
  <c r="O17" i="13"/>
  <c r="X16" i="13"/>
  <c r="Y16" i="13" s="1"/>
  <c r="R16" i="13"/>
  <c r="P16" i="13"/>
  <c r="O16" i="13"/>
  <c r="X15" i="13"/>
  <c r="Y15" i="13" s="1"/>
  <c r="R15" i="13"/>
  <c r="P15" i="13"/>
  <c r="O15" i="13"/>
  <c r="X14" i="13"/>
  <c r="Y14" i="13" s="1"/>
  <c r="R14" i="13"/>
  <c r="P14" i="13"/>
  <c r="O14" i="13"/>
  <c r="X13" i="13"/>
  <c r="Y13" i="13" s="1"/>
  <c r="Q13" i="13"/>
  <c r="R13" i="13" s="1"/>
  <c r="O13" i="13"/>
  <c r="X12" i="13"/>
  <c r="Q12" i="13"/>
  <c r="X11" i="13"/>
  <c r="Y11" i="13" s="1"/>
  <c r="Q11" i="13"/>
  <c r="X10" i="13"/>
  <c r="Y10" i="13" s="1"/>
  <c r="Q10" i="13"/>
  <c r="O10" i="13"/>
  <c r="X9" i="13"/>
  <c r="Y9" i="13" s="1"/>
  <c r="Q9" i="13"/>
  <c r="R9" i="13" s="1"/>
  <c r="O9" i="13"/>
  <c r="X8" i="13"/>
  <c r="Q8" i="13"/>
  <c r="R8" i="13" s="1"/>
  <c r="O8" i="13"/>
  <c r="X7" i="13"/>
  <c r="Y7" i="13" s="1"/>
  <c r="Q7" i="13"/>
  <c r="R7" i="13" s="1"/>
  <c r="O7" i="13"/>
  <c r="X6" i="13"/>
  <c r="Q6" i="13"/>
  <c r="O6" i="13"/>
  <c r="X5" i="13"/>
  <c r="Q5" i="13"/>
  <c r="R5" i="13" s="1"/>
  <c r="O5" i="13"/>
  <c r="X4" i="13"/>
  <c r="Q4" i="13"/>
  <c r="O4" i="13"/>
  <c r="X3" i="13"/>
  <c r="Y3" i="13" s="1"/>
  <c r="Q3" i="13"/>
  <c r="R3" i="13" s="1"/>
  <c r="O3" i="13"/>
  <c r="X2" i="13"/>
  <c r="Y2" i="13" s="1"/>
  <c r="Q2" i="13"/>
  <c r="O2" i="13"/>
  <c r="T9" i="23" l="1"/>
  <c r="V9" i="23"/>
  <c r="W9" i="23" s="1"/>
  <c r="V4" i="16"/>
  <c r="U4" i="16" s="1"/>
  <c r="T229" i="13"/>
  <c r="W229" i="13"/>
  <c r="P262" i="13"/>
  <c r="S87" i="13"/>
  <c r="W87" i="13"/>
  <c r="S90" i="13"/>
  <c r="T155" i="13"/>
  <c r="P53" i="13"/>
  <c r="W231" i="13"/>
  <c r="T231" i="13"/>
  <c r="P164" i="13"/>
  <c r="U232" i="13"/>
  <c r="V232" i="13" s="1"/>
  <c r="U61" i="13"/>
  <c r="V61" i="13" s="1"/>
  <c r="W178" i="13"/>
  <c r="W212" i="13"/>
  <c r="S214" i="13"/>
  <c r="W169" i="13"/>
  <c r="W26" i="13"/>
  <c r="P72" i="13"/>
  <c r="T90" i="13"/>
  <c r="P192" i="13"/>
  <c r="T232" i="13"/>
  <c r="P265" i="13"/>
  <c r="S92" i="13"/>
  <c r="S84" i="13"/>
  <c r="P181" i="13"/>
  <c r="U84" i="13"/>
  <c r="V84" i="13" s="1"/>
  <c r="U94" i="13"/>
  <c r="V94" i="13" s="1"/>
  <c r="W84" i="13"/>
  <c r="U85" i="13"/>
  <c r="V85" i="13" s="1"/>
  <c r="W25" i="13"/>
  <c r="S37" i="13"/>
  <c r="U60" i="13"/>
  <c r="V60" i="13" s="1"/>
  <c r="U214" i="13"/>
  <c r="V214" i="13" s="1"/>
  <c r="T37" i="13"/>
  <c r="W214" i="13"/>
  <c r="T61" i="13"/>
  <c r="U87" i="13"/>
  <c r="V87" i="13" s="1"/>
  <c r="U104" i="13"/>
  <c r="V104" i="13" s="1"/>
  <c r="U126" i="13"/>
  <c r="V126" i="13" s="1"/>
  <c r="P258" i="13"/>
  <c r="U17" i="13"/>
  <c r="V17" i="13" s="1"/>
  <c r="S127" i="13"/>
  <c r="W17" i="13"/>
  <c r="U50" i="13"/>
  <c r="V50" i="13" s="1"/>
  <c r="W50" i="13"/>
  <c r="W175" i="13"/>
  <c r="U14" i="13"/>
  <c r="V14" i="13" s="1"/>
  <c r="P116" i="13"/>
  <c r="W215" i="13"/>
  <c r="W14" i="13"/>
  <c r="W90" i="13"/>
  <c r="P56" i="13"/>
  <c r="P117" i="13"/>
  <c r="U151" i="13"/>
  <c r="V151" i="13" s="1"/>
  <c r="W151" i="13"/>
  <c r="W91" i="13"/>
  <c r="P196" i="13"/>
  <c r="P257" i="13"/>
  <c r="T101" i="13"/>
  <c r="W15" i="13"/>
  <c r="S43" i="13"/>
  <c r="U101" i="13"/>
  <c r="V101" i="13" s="1"/>
  <c r="P227" i="13"/>
  <c r="U43" i="13"/>
  <c r="V43" i="13" s="1"/>
  <c r="P51" i="13"/>
  <c r="U63" i="13"/>
  <c r="V63" i="13" s="1"/>
  <c r="T88" i="13"/>
  <c r="W101" i="13"/>
  <c r="U143" i="13"/>
  <c r="V143" i="13" s="1"/>
  <c r="P187" i="13"/>
  <c r="S2" i="13"/>
  <c r="W43" i="13"/>
  <c r="P123" i="13"/>
  <c r="P245" i="13"/>
  <c r="S35" i="13"/>
  <c r="W88" i="13"/>
  <c r="U165" i="13"/>
  <c r="V165" i="13" s="1"/>
  <c r="W177" i="13"/>
  <c r="T218" i="13"/>
  <c r="U16" i="13"/>
  <c r="V16" i="13" s="1"/>
  <c r="U45" i="13"/>
  <c r="V45" i="13" s="1"/>
  <c r="T166" i="13"/>
  <c r="W218" i="13"/>
  <c r="T35" i="13"/>
  <c r="U25" i="13"/>
  <c r="V25" i="13" s="1"/>
  <c r="W35" i="13"/>
  <c r="W45" i="13"/>
  <c r="T127" i="13"/>
  <c r="U166" i="13"/>
  <c r="V166" i="13" s="1"/>
  <c r="U127" i="13"/>
  <c r="V127" i="13" s="1"/>
  <c r="W166" i="13"/>
  <c r="W104" i="13"/>
  <c r="T128" i="13"/>
  <c r="S61" i="13"/>
  <c r="W86" i="13"/>
  <c r="P118" i="13"/>
  <c r="U128" i="13"/>
  <c r="V128" i="13" s="1"/>
  <c r="P133" i="13"/>
  <c r="W168" i="13"/>
  <c r="U178" i="13"/>
  <c r="V178" i="13" s="1"/>
  <c r="U27" i="13"/>
  <c r="V27" i="13" s="1"/>
  <c r="P69" i="13"/>
  <c r="Y230" i="13"/>
  <c r="T102" i="13"/>
  <c r="Y63" i="13"/>
  <c r="S39" i="13"/>
  <c r="T89" i="13"/>
  <c r="U102" i="13"/>
  <c r="V102" i="13" s="1"/>
  <c r="T168" i="13"/>
  <c r="W102" i="13"/>
  <c r="P122" i="13"/>
  <c r="U147" i="13"/>
  <c r="V147" i="13" s="1"/>
  <c r="U168" i="13"/>
  <c r="V168" i="13" s="1"/>
  <c r="Q188" i="13"/>
  <c r="R188" i="13" s="1"/>
  <c r="P264" i="13"/>
  <c r="R122" i="13"/>
  <c r="S122" i="13"/>
  <c r="T41" i="13"/>
  <c r="S126" i="13"/>
  <c r="S212" i="13"/>
  <c r="T230" i="13"/>
  <c r="S41" i="13"/>
  <c r="R193" i="13"/>
  <c r="W206" i="13"/>
  <c r="S63" i="13"/>
  <c r="S45" i="13"/>
  <c r="T126" i="13"/>
  <c r="U175" i="13"/>
  <c r="V175" i="13" s="1"/>
  <c r="U212" i="13"/>
  <c r="V212" i="13" s="1"/>
  <c r="U75" i="13"/>
  <c r="V75" i="13" s="1"/>
  <c r="W75" i="13"/>
  <c r="R75" i="13"/>
  <c r="Y189" i="13"/>
  <c r="R265" i="13"/>
  <c r="S215" i="13"/>
  <c r="P55" i="13"/>
  <c r="S85" i="13"/>
  <c r="T104" i="13"/>
  <c r="S128" i="13"/>
  <c r="U181" i="13"/>
  <c r="V181" i="13" s="1"/>
  <c r="P247" i="13"/>
  <c r="T187" i="13"/>
  <c r="S142" i="13"/>
  <c r="U183" i="13"/>
  <c r="V183" i="13" s="1"/>
  <c r="U268" i="13"/>
  <c r="V268" i="13" s="1"/>
  <c r="R187" i="13"/>
  <c r="T39" i="13"/>
  <c r="T92" i="13"/>
  <c r="U105" i="13"/>
  <c r="V105" i="13" s="1"/>
  <c r="U145" i="13"/>
  <c r="V145" i="13" s="1"/>
  <c r="P193" i="13"/>
  <c r="P226" i="13"/>
  <c r="T261" i="13"/>
  <c r="U234" i="13"/>
  <c r="V234" i="13" s="1"/>
  <c r="T13" i="13"/>
  <c r="P71" i="13"/>
  <c r="U92" i="13"/>
  <c r="V92" i="13" s="1"/>
  <c r="W105" i="13"/>
  <c r="P135" i="13"/>
  <c r="W145" i="13"/>
  <c r="R194" i="13"/>
  <c r="R257" i="13"/>
  <c r="R118" i="13"/>
  <c r="W217" i="13"/>
  <c r="W232" i="13"/>
  <c r="U194" i="13"/>
  <c r="V194" i="13" s="1"/>
  <c r="R236" i="13"/>
  <c r="T268" i="13"/>
  <c r="S94" i="13"/>
  <c r="R106" i="13"/>
  <c r="T136" i="13"/>
  <c r="U167" i="13"/>
  <c r="V167" i="13" s="1"/>
  <c r="Y229" i="13"/>
  <c r="W49" i="13"/>
  <c r="P59" i="13"/>
  <c r="P73" i="13"/>
  <c r="S88" i="13"/>
  <c r="T94" i="13"/>
  <c r="S106" i="13"/>
  <c r="P137" i="13"/>
  <c r="S218" i="13"/>
  <c r="P261" i="13"/>
  <c r="U174" i="13"/>
  <c r="V174" i="13" s="1"/>
  <c r="Y174" i="13"/>
  <c r="W174" i="13"/>
  <c r="Y18" i="13"/>
  <c r="W18" i="13"/>
  <c r="U202" i="13"/>
  <c r="V202" i="13" s="1"/>
  <c r="W202" i="13"/>
  <c r="R18" i="13"/>
  <c r="U78" i="13"/>
  <c r="V78" i="13" s="1"/>
  <c r="R171" i="13"/>
  <c r="S8" i="13"/>
  <c r="U52" i="13"/>
  <c r="V52" i="13" s="1"/>
  <c r="P52" i="13"/>
  <c r="U137" i="13"/>
  <c r="V137" i="13" s="1"/>
  <c r="R251" i="13"/>
  <c r="T251" i="13"/>
  <c r="S244" i="13"/>
  <c r="R198" i="13"/>
  <c r="U107" i="13"/>
  <c r="V107" i="13" s="1"/>
  <c r="T121" i="13"/>
  <c r="R174" i="13"/>
  <c r="U198" i="13"/>
  <c r="V198" i="13" s="1"/>
  <c r="Y213" i="13"/>
  <c r="U233" i="13"/>
  <c r="V233" i="13" s="1"/>
  <c r="W233" i="13"/>
  <c r="T233" i="13"/>
  <c r="S267" i="13"/>
  <c r="U21" i="13"/>
  <c r="V21" i="13" s="1"/>
  <c r="W21" i="13"/>
  <c r="S53" i="13"/>
  <c r="Y233" i="13"/>
  <c r="S245" i="13"/>
  <c r="T267" i="13"/>
  <c r="U53" i="13"/>
  <c r="V53" i="13" s="1"/>
  <c r="S86" i="13"/>
  <c r="S91" i="13"/>
  <c r="R108" i="13"/>
  <c r="U179" i="13"/>
  <c r="V179" i="13" s="1"/>
  <c r="S179" i="13"/>
  <c r="R179" i="13"/>
  <c r="U245" i="13"/>
  <c r="V245" i="13" s="1"/>
  <c r="P54" i="13"/>
  <c r="U86" i="13"/>
  <c r="V86" i="13" s="1"/>
  <c r="T91" i="13"/>
  <c r="T108" i="13"/>
  <c r="P161" i="13"/>
  <c r="R200" i="13"/>
  <c r="S234" i="13"/>
  <c r="Q256" i="13"/>
  <c r="U256" i="13" s="1"/>
  <c r="V256" i="13" s="1"/>
  <c r="S268" i="13"/>
  <c r="R243" i="13"/>
  <c r="P243" i="13"/>
  <c r="T250" i="13"/>
  <c r="S185" i="13"/>
  <c r="T185" i="13"/>
  <c r="R185" i="13"/>
  <c r="S54" i="13"/>
  <c r="R202" i="13"/>
  <c r="R57" i="13"/>
  <c r="S57" i="13"/>
  <c r="U258" i="13"/>
  <c r="V258" i="13" s="1"/>
  <c r="S266" i="13"/>
  <c r="S59" i="13"/>
  <c r="R54" i="13"/>
  <c r="U161" i="13"/>
  <c r="V161" i="13" s="1"/>
  <c r="T167" i="13"/>
  <c r="Y167" i="13"/>
  <c r="R262" i="13"/>
  <c r="U269" i="13"/>
  <c r="V269" i="13" s="1"/>
  <c r="S269" i="13"/>
  <c r="R78" i="13"/>
  <c r="S243" i="13"/>
  <c r="R226" i="13"/>
  <c r="W78" i="13"/>
  <c r="Y177" i="13"/>
  <c r="U243" i="13"/>
  <c r="V243" i="13" s="1"/>
  <c r="R52" i="13"/>
  <c r="S251" i="13"/>
  <c r="R121" i="13"/>
  <c r="Y157" i="13"/>
  <c r="Q157" i="13"/>
  <c r="P157" i="13" s="1"/>
  <c r="X173" i="13"/>
  <c r="Y173" i="13" s="1"/>
  <c r="W47" i="13"/>
  <c r="U47" i="13"/>
  <c r="V47" i="13" s="1"/>
  <c r="P246" i="13"/>
  <c r="S246" i="13"/>
  <c r="R246" i="13"/>
  <c r="U62" i="13"/>
  <c r="V62" i="13" s="1"/>
  <c r="T62" i="13"/>
  <c r="S62" i="13"/>
  <c r="Y62" i="13"/>
  <c r="Y143" i="13"/>
  <c r="T262" i="13"/>
  <c r="R135" i="13"/>
  <c r="U162" i="13"/>
  <c r="V162" i="13" s="1"/>
  <c r="R162" i="13"/>
  <c r="P183" i="13"/>
  <c r="P195" i="13"/>
  <c r="S236" i="13"/>
  <c r="P249" i="13"/>
  <c r="S184" i="13"/>
  <c r="R137" i="13"/>
  <c r="T110" i="13"/>
  <c r="Y217" i="13"/>
  <c r="U70" i="13"/>
  <c r="V70" i="13" s="1"/>
  <c r="S52" i="13"/>
  <c r="R138" i="13"/>
  <c r="R197" i="13"/>
  <c r="T266" i="13"/>
  <c r="Y96" i="13"/>
  <c r="U96" i="13"/>
  <c r="V96" i="13" s="1"/>
  <c r="T96" i="13"/>
  <c r="S96" i="13"/>
  <c r="T107" i="13"/>
  <c r="S121" i="13"/>
  <c r="R4" i="13"/>
  <c r="T4" i="13"/>
  <c r="S4" i="13"/>
  <c r="S109" i="13"/>
  <c r="S115" i="13"/>
  <c r="Y151" i="13"/>
  <c r="S182" i="13"/>
  <c r="T135" i="13"/>
  <c r="T236" i="13"/>
  <c r="Y6" i="13"/>
  <c r="S6" i="13"/>
  <c r="R183" i="13"/>
  <c r="U195" i="13"/>
  <c r="V195" i="13" s="1"/>
  <c r="Y216" i="13"/>
  <c r="T216" i="13"/>
  <c r="S216" i="13"/>
  <c r="S249" i="13"/>
  <c r="P57" i="13"/>
  <c r="X77" i="13"/>
  <c r="T93" i="13"/>
  <c r="Y124" i="13"/>
  <c r="T124" i="13"/>
  <c r="S124" i="13"/>
  <c r="R136" i="13"/>
  <c r="W153" i="13"/>
  <c r="Y153" i="13"/>
  <c r="Y176" i="13"/>
  <c r="W176" i="13"/>
  <c r="U176" i="13"/>
  <c r="V176" i="13" s="1"/>
  <c r="Q190" i="13"/>
  <c r="S217" i="13"/>
  <c r="T249" i="13"/>
  <c r="U263" i="13"/>
  <c r="V263" i="13" s="1"/>
  <c r="T263" i="13"/>
  <c r="R263" i="13"/>
  <c r="S139" i="13"/>
  <c r="R21" i="13"/>
  <c r="U55" i="13"/>
  <c r="V55" i="13" s="1"/>
  <c r="S116" i="13"/>
  <c r="R140" i="13"/>
  <c r="R204" i="13"/>
  <c r="R238" i="13"/>
  <c r="S247" i="13"/>
  <c r="R259" i="13"/>
  <c r="R264" i="13"/>
  <c r="U270" i="13"/>
  <c r="V270" i="13" s="1"/>
  <c r="S123" i="13"/>
  <c r="S180" i="13"/>
  <c r="U238" i="13"/>
  <c r="V238" i="13" s="1"/>
  <c r="U247" i="13"/>
  <c r="V247" i="13" s="1"/>
  <c r="T123" i="13"/>
  <c r="S186" i="13"/>
  <c r="R196" i="13"/>
  <c r="P228" i="13"/>
  <c r="Q254" i="13"/>
  <c r="U254" i="13" s="1"/>
  <c r="V254" i="13" s="1"/>
  <c r="U264" i="13"/>
  <c r="V264" i="13" s="1"/>
  <c r="Y231" i="13"/>
  <c r="R55" i="13"/>
  <c r="W203" i="13"/>
  <c r="R116" i="13"/>
  <c r="R227" i="13"/>
  <c r="Y252" i="13"/>
  <c r="S270" i="13"/>
  <c r="T72" i="13"/>
  <c r="S140" i="13"/>
  <c r="R51" i="13"/>
  <c r="S51" i="13"/>
  <c r="R56" i="13"/>
  <c r="S117" i="13"/>
  <c r="U141" i="13"/>
  <c r="V141" i="13" s="1"/>
  <c r="X205" i="13"/>
  <c r="Y205" i="13" s="1"/>
  <c r="Y215" i="13"/>
  <c r="S56" i="13"/>
  <c r="Y105" i="13"/>
  <c r="T133" i="13"/>
  <c r="R181" i="13"/>
  <c r="R228" i="13"/>
  <c r="R248" i="13"/>
  <c r="U260" i="13"/>
  <c r="V260" i="13" s="1"/>
  <c r="Y85" i="13"/>
  <c r="R164" i="13"/>
  <c r="R206" i="13"/>
  <c r="T248" i="13"/>
  <c r="V5" i="16"/>
  <c r="V4" i="15"/>
  <c r="U4" i="15"/>
  <c r="W4" i="15"/>
  <c r="U4" i="7"/>
  <c r="T4" i="7"/>
  <c r="S4" i="7"/>
  <c r="U5" i="7"/>
  <c r="T5" i="7"/>
  <c r="S5" i="7"/>
  <c r="T11" i="13"/>
  <c r="U11" i="13"/>
  <c r="V11" i="13" s="1"/>
  <c r="S11" i="13"/>
  <c r="W24" i="13"/>
  <c r="U24" i="13"/>
  <c r="V24" i="13" s="1"/>
  <c r="T24" i="13"/>
  <c r="Y24" i="13"/>
  <c r="Y34" i="13"/>
  <c r="W34" i="13"/>
  <c r="T34" i="13"/>
  <c r="Y48" i="13"/>
  <c r="W48" i="13"/>
  <c r="U48" i="13"/>
  <c r="V48" i="13" s="1"/>
  <c r="U42" i="13"/>
  <c r="V42" i="13" s="1"/>
  <c r="Y42" i="13"/>
  <c r="W42" i="13"/>
  <c r="U46" i="13"/>
  <c r="V46" i="13" s="1"/>
  <c r="Y46" i="13"/>
  <c r="W46" i="13"/>
  <c r="X76" i="13"/>
  <c r="R76" i="13"/>
  <c r="P252" i="13"/>
  <c r="U252" i="13"/>
  <c r="V252" i="13" s="1"/>
  <c r="R252" i="13"/>
  <c r="U5" i="13"/>
  <c r="V5" i="13" s="1"/>
  <c r="T5" i="13"/>
  <c r="S5" i="13"/>
  <c r="Y5" i="13"/>
  <c r="Y170" i="13"/>
  <c r="W170" i="13"/>
  <c r="U170" i="13"/>
  <c r="V170" i="13" s="1"/>
  <c r="T3" i="13"/>
  <c r="U38" i="13"/>
  <c r="V38" i="13" s="1"/>
  <c r="T38" i="13"/>
  <c r="Y38" i="13"/>
  <c r="Y8" i="13"/>
  <c r="U8" i="13"/>
  <c r="V8" i="13" s="1"/>
  <c r="T8" i="13"/>
  <c r="T6" i="13"/>
  <c r="R6" i="13"/>
  <c r="R189" i="13"/>
  <c r="P189" i="13"/>
  <c r="U12" i="13"/>
  <c r="V12" i="13" s="1"/>
  <c r="T12" i="13"/>
  <c r="S12" i="13"/>
  <c r="Y12" i="13"/>
  <c r="X19" i="13"/>
  <c r="R19" i="13"/>
  <c r="X22" i="13"/>
  <c r="R22" i="13"/>
  <c r="P221" i="13"/>
  <c r="R221" i="13"/>
  <c r="X20" i="13"/>
  <c r="R20" i="13"/>
  <c r="Y44" i="13"/>
  <c r="W44" i="13"/>
  <c r="U44" i="13"/>
  <c r="V44" i="13" s="1"/>
  <c r="X23" i="13"/>
  <c r="R23" i="13"/>
  <c r="T36" i="13"/>
  <c r="Y36" i="13"/>
  <c r="W36" i="13"/>
  <c r="Y40" i="13"/>
  <c r="U40" i="13"/>
  <c r="V40" i="13" s="1"/>
  <c r="T40" i="13"/>
  <c r="X74" i="13"/>
  <c r="R74" i="13"/>
  <c r="T7" i="13"/>
  <c r="T10" i="13"/>
  <c r="R10" i="13"/>
  <c r="T58" i="13"/>
  <c r="S58" i="13"/>
  <c r="R58" i="13"/>
  <c r="P58" i="13"/>
  <c r="P223" i="13"/>
  <c r="R223" i="13"/>
  <c r="T2" i="13"/>
  <c r="R2" i="13"/>
  <c r="Y4" i="13"/>
  <c r="U4" i="13"/>
  <c r="V4" i="13" s="1"/>
  <c r="S10" i="13"/>
  <c r="S34" i="13"/>
  <c r="U64" i="13"/>
  <c r="V64" i="13" s="1"/>
  <c r="T64" i="13"/>
  <c r="Y64" i="13"/>
  <c r="R159" i="13"/>
  <c r="P159" i="13"/>
  <c r="R119" i="13"/>
  <c r="Y21" i="13"/>
  <c r="S3" i="13"/>
  <c r="S7" i="13"/>
  <c r="T25" i="13"/>
  <c r="Y26" i="13"/>
  <c r="T60" i="13"/>
  <c r="U71" i="13"/>
  <c r="V71" i="13" s="1"/>
  <c r="T71" i="13"/>
  <c r="Y75" i="13"/>
  <c r="S93" i="13"/>
  <c r="T95" i="13"/>
  <c r="W103" i="13"/>
  <c r="S110" i="13"/>
  <c r="P115" i="13"/>
  <c r="R117" i="13"/>
  <c r="U119" i="13"/>
  <c r="V119" i="13" s="1"/>
  <c r="T134" i="13"/>
  <c r="U139" i="13"/>
  <c r="V139" i="13" s="1"/>
  <c r="R142" i="13"/>
  <c r="W146" i="13"/>
  <c r="U146" i="13"/>
  <c r="V146" i="13" s="1"/>
  <c r="U149" i="13"/>
  <c r="V149" i="13" s="1"/>
  <c r="W154" i="13"/>
  <c r="T154" i="13"/>
  <c r="S154" i="13"/>
  <c r="W165" i="13"/>
  <c r="Y169" i="13"/>
  <c r="P180" i="13"/>
  <c r="P182" i="13"/>
  <c r="P184" i="13"/>
  <c r="P186" i="13"/>
  <c r="U200" i="13"/>
  <c r="V200" i="13" s="1"/>
  <c r="Y202" i="13"/>
  <c r="Y211" i="13"/>
  <c r="S219" i="13"/>
  <c r="U225" i="13"/>
  <c r="V225" i="13" s="1"/>
  <c r="R234" i="13"/>
  <c r="S250" i="13"/>
  <c r="Y144" i="13"/>
  <c r="W144" i="13"/>
  <c r="U221" i="13"/>
  <c r="V221" i="13" s="1"/>
  <c r="U223" i="13"/>
  <c r="V223" i="13" s="1"/>
  <c r="U3" i="13"/>
  <c r="V3" i="13" s="1"/>
  <c r="U7" i="13"/>
  <c r="V7" i="13" s="1"/>
  <c r="S13" i="13"/>
  <c r="T27" i="13"/>
  <c r="U69" i="13"/>
  <c r="V69" i="13" s="1"/>
  <c r="T69" i="13"/>
  <c r="S89" i="13"/>
  <c r="U93" i="13"/>
  <c r="V93" i="13" s="1"/>
  <c r="Y103" i="13"/>
  <c r="S108" i="13"/>
  <c r="R115" i="13"/>
  <c r="P120" i="13"/>
  <c r="T142" i="13"/>
  <c r="S147" i="13"/>
  <c r="W149" i="13"/>
  <c r="S155" i="13"/>
  <c r="Y165" i="13"/>
  <c r="R170" i="13"/>
  <c r="X172" i="13"/>
  <c r="R180" i="13"/>
  <c r="R182" i="13"/>
  <c r="R184" i="13"/>
  <c r="R186" i="13"/>
  <c r="U192" i="13"/>
  <c r="V192" i="13" s="1"/>
  <c r="T198" i="13"/>
  <c r="P201" i="13"/>
  <c r="R203" i="13"/>
  <c r="W219" i="13"/>
  <c r="U237" i="13"/>
  <c r="V237" i="13" s="1"/>
  <c r="S237" i="13"/>
  <c r="R237" i="13"/>
  <c r="S248" i="13"/>
  <c r="T265" i="13"/>
  <c r="W152" i="13"/>
  <c r="T152" i="13"/>
  <c r="S152" i="13"/>
  <c r="U13" i="13"/>
  <c r="V13" i="13" s="1"/>
  <c r="R120" i="13"/>
  <c r="Y149" i="13"/>
  <c r="Y152" i="13"/>
  <c r="Y203" i="13"/>
  <c r="Y219" i="13"/>
  <c r="Y221" i="13"/>
  <c r="Y223" i="13"/>
  <c r="Y159" i="13"/>
  <c r="U159" i="13"/>
  <c r="V159" i="13" s="1"/>
  <c r="U201" i="13"/>
  <c r="V201" i="13" s="1"/>
  <c r="T201" i="13"/>
  <c r="Y60" i="13"/>
  <c r="Y95" i="13"/>
  <c r="U2" i="13"/>
  <c r="V2" i="13" s="1"/>
  <c r="U6" i="13"/>
  <c r="V6" i="13" s="1"/>
  <c r="U10" i="13"/>
  <c r="V10" i="13" s="1"/>
  <c r="W16" i="13"/>
  <c r="W27" i="13"/>
  <c r="U39" i="13"/>
  <c r="V39" i="13" s="1"/>
  <c r="U41" i="13"/>
  <c r="V41" i="13" s="1"/>
  <c r="P70" i="13"/>
  <c r="R72" i="13"/>
  <c r="S83" i="13"/>
  <c r="W89" i="13"/>
  <c r="T106" i="13"/>
  <c r="R109" i="13"/>
  <c r="S120" i="13"/>
  <c r="S125" i="13"/>
  <c r="R133" i="13"/>
  <c r="T140" i="13"/>
  <c r="W147" i="13"/>
  <c r="S153" i="13"/>
  <c r="W155" i="13"/>
  <c r="Q160" i="13"/>
  <c r="Q191" i="13"/>
  <c r="U191" i="13" s="1"/>
  <c r="V191" i="13" s="1"/>
  <c r="P199" i="13"/>
  <c r="P220" i="13"/>
  <c r="P222" i="13"/>
  <c r="U235" i="13"/>
  <c r="V235" i="13" s="1"/>
  <c r="S235" i="13"/>
  <c r="R235" i="13"/>
  <c r="R244" i="13"/>
  <c r="U246" i="13"/>
  <c r="V246" i="13" s="1"/>
  <c r="R261" i="13"/>
  <c r="R269" i="13"/>
  <c r="S9" i="13"/>
  <c r="T153" i="13"/>
  <c r="T9" i="13"/>
  <c r="U15" i="13"/>
  <c r="V15" i="13" s="1"/>
  <c r="U18" i="13"/>
  <c r="V18" i="13" s="1"/>
  <c r="T26" i="13"/>
  <c r="U49" i="13"/>
  <c r="V49" i="13" s="1"/>
  <c r="R70" i="13"/>
  <c r="R107" i="13"/>
  <c r="T109" i="13"/>
  <c r="S118" i="13"/>
  <c r="U125" i="13"/>
  <c r="V125" i="13" s="1"/>
  <c r="P136" i="13"/>
  <c r="S138" i="13"/>
  <c r="S141" i="13"/>
  <c r="R158" i="13"/>
  <c r="U171" i="13"/>
  <c r="V171" i="13" s="1"/>
  <c r="U189" i="13"/>
  <c r="V189" i="13" s="1"/>
  <c r="U204" i="13"/>
  <c r="V204" i="13" s="1"/>
  <c r="U206" i="13"/>
  <c r="V206" i="13" s="1"/>
  <c r="R220" i="13"/>
  <c r="Q224" i="13"/>
  <c r="S238" i="13"/>
  <c r="U244" i="13"/>
  <c r="V244" i="13" s="1"/>
  <c r="U259" i="13"/>
  <c r="V259" i="13" s="1"/>
  <c r="T269" i="13"/>
  <c r="U83" i="13"/>
  <c r="V83" i="13" s="1"/>
  <c r="T125" i="13"/>
  <c r="W150" i="13"/>
  <c r="U150" i="13"/>
  <c r="V150" i="13" s="1"/>
  <c r="S150" i="13"/>
  <c r="U199" i="13"/>
  <c r="V199" i="13" s="1"/>
  <c r="T199" i="13"/>
  <c r="S213" i="13"/>
  <c r="U9" i="13"/>
  <c r="V9" i="13" s="1"/>
  <c r="R59" i="13"/>
  <c r="W83" i="13"/>
  <c r="P119" i="13"/>
  <c r="T138" i="13"/>
  <c r="T141" i="13"/>
  <c r="U158" i="13"/>
  <c r="V158" i="13" s="1"/>
  <c r="U169" i="13"/>
  <c r="V169" i="13" s="1"/>
  <c r="S211" i="13"/>
  <c r="W213" i="13"/>
  <c r="U222" i="13"/>
  <c r="V222" i="13" s="1"/>
  <c r="R267" i="13"/>
  <c r="T103" i="13"/>
  <c r="P134" i="13"/>
  <c r="W148" i="13"/>
  <c r="U148" i="13"/>
  <c r="V148" i="13" s="1"/>
  <c r="S148" i="13"/>
  <c r="W171" i="13"/>
  <c r="U197" i="13"/>
  <c r="V197" i="13" s="1"/>
  <c r="T197" i="13"/>
  <c r="W204" i="13"/>
  <c r="P225" i="13"/>
  <c r="U73" i="13"/>
  <c r="V73" i="13" s="1"/>
  <c r="T73" i="13"/>
  <c r="Q156" i="13"/>
  <c r="R110" i="13"/>
  <c r="R134" i="13"/>
  <c r="T139" i="13"/>
  <c r="Y156" i="13"/>
  <c r="Y158" i="13"/>
  <c r="R163" i="13"/>
  <c r="P163" i="13"/>
  <c r="T200" i="13"/>
  <c r="R250" i="13"/>
  <c r="Q255" i="13"/>
  <c r="U255" i="13" s="1"/>
  <c r="V255" i="13" s="1"/>
  <c r="Q253" i="13"/>
  <c r="P260" i="13"/>
  <c r="R266" i="13"/>
  <c r="R270" i="13"/>
  <c r="T4" i="16" l="1"/>
  <c r="S4" i="16"/>
  <c r="U188" i="13"/>
  <c r="V188" i="13" s="1"/>
  <c r="R254" i="13"/>
  <c r="P188" i="13"/>
  <c r="W205" i="13"/>
  <c r="U205" i="13"/>
  <c r="V205" i="13" s="1"/>
  <c r="W173" i="13"/>
  <c r="R157" i="13"/>
  <c r="U157" i="13"/>
  <c r="V157" i="13" s="1"/>
  <c r="P256" i="13"/>
  <c r="R256" i="13"/>
  <c r="U173" i="13"/>
  <c r="V173" i="13" s="1"/>
  <c r="U190" i="13"/>
  <c r="V190" i="13" s="1"/>
  <c r="P190" i="13"/>
  <c r="R190" i="13"/>
  <c r="P254" i="13"/>
  <c r="W77" i="13"/>
  <c r="U77" i="13"/>
  <c r="V77" i="13" s="1"/>
  <c r="Y77" i="13"/>
  <c r="U5" i="16"/>
  <c r="T5" i="16"/>
  <c r="S5" i="16"/>
  <c r="W172" i="13"/>
  <c r="U172" i="13"/>
  <c r="V172" i="13" s="1"/>
  <c r="Y172" i="13"/>
  <c r="Y76" i="13"/>
  <c r="W76" i="13"/>
  <c r="U76" i="13"/>
  <c r="V76" i="13" s="1"/>
  <c r="R253" i="13"/>
  <c r="P253" i="13"/>
  <c r="P156" i="13"/>
  <c r="R156" i="13"/>
  <c r="Y74" i="13"/>
  <c r="W74" i="13"/>
  <c r="U74" i="13"/>
  <c r="V74" i="13" s="1"/>
  <c r="R255" i="13"/>
  <c r="P255" i="13"/>
  <c r="U156" i="13"/>
  <c r="V156" i="13" s="1"/>
  <c r="U20" i="13"/>
  <c r="V20" i="13" s="1"/>
  <c r="Y20" i="13"/>
  <c r="W20" i="13"/>
  <c r="U23" i="13"/>
  <c r="V23" i="13" s="1"/>
  <c r="Y23" i="13"/>
  <c r="W23" i="13"/>
  <c r="P191" i="13"/>
  <c r="R191" i="13"/>
  <c r="R160" i="13"/>
  <c r="P160" i="13"/>
  <c r="P224" i="13"/>
  <c r="R224" i="13"/>
  <c r="Y22" i="13"/>
  <c r="W22" i="13"/>
  <c r="U22" i="13"/>
  <c r="V22" i="13" s="1"/>
  <c r="U224" i="13"/>
  <c r="V224" i="13" s="1"/>
  <c r="U253" i="13"/>
  <c r="V253" i="13" s="1"/>
  <c r="Y19" i="13"/>
  <c r="W19" i="13"/>
  <c r="U19" i="13"/>
  <c r="V19" i="13" s="1"/>
  <c r="U160" i="13"/>
  <c r="V160" i="13" s="1"/>
  <c r="T4" i="9" l="1"/>
  <c r="S2" i="9"/>
  <c r="Q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5" authorId="0" shapeId="0" xr:uid="{6DA07D49-89E9-4449-88F6-1B5A9ED1E1D7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U5" authorId="0" shapeId="0" xr:uid="{6FFE0709-9B7C-4D53-9431-CA559FA72D2B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U6" authorId="0" shapeId="0" xr:uid="{0E807779-75FE-419E-8BB7-6B0CB4A11A77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7" authorId="0" shapeId="0" xr:uid="{F99831A1-1415-49BA-9F0C-18B522164DAD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U7" authorId="0" shapeId="0" xr:uid="{7F711415-7218-4A28-B0B3-D31733F0C866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8" authorId="0" shapeId="0" xr:uid="{DC71E6F1-321A-477C-B3A6-A3E3BD48F1D6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U8" authorId="0" shapeId="0" xr:uid="{B5A36290-8490-4BCC-BE52-EB7DDA82163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9" authorId="0" shapeId="0" xr:uid="{1274EAC9-F584-4238-9AF1-0620D444007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X9" authorId="0" shapeId="0" xr:uid="{FB3638B3-E2D8-408B-8918-3B55663FB72C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0" authorId="0" shapeId="0" xr:uid="{2747DF16-570E-4042-8F69-A2DF5B402BE9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X11" authorId="0" shapeId="0" xr:uid="{3EB31AA5-4743-4B88-AC76-484604AD115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5" authorId="0" shapeId="0" xr:uid="{87E0DA02-3966-4D42-A20C-615100AF080F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U5" authorId="0" shapeId="0" xr:uid="{8D2C1D86-BC85-4D25-ABA3-3D4B2388A497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U6" authorId="0" shapeId="0" xr:uid="{BDDE8610-5F20-4B5F-BDBB-3B59F9610F3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7" authorId="0" shapeId="0" xr:uid="{CCDE60DA-1388-4FC8-9EF9-FF804F4F8A6D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U7" authorId="0" shapeId="0" xr:uid="{24F4ADF2-5531-4A46-992B-10932FC46CEE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8" authorId="0" shapeId="0" xr:uid="{C4C21D2A-B523-409E-A3FF-B8683EF1E230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U8" authorId="0" shapeId="0" xr:uid="{9D3DADB7-F65F-4373-A546-A835997F77A4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9" authorId="0" shapeId="0" xr:uid="{DE2AE563-2A87-4288-AA6B-1D8550F7E4BE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X9" authorId="0" shapeId="0" xr:uid="{0941449E-E786-41C9-BA77-A3CACD45F1D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0" authorId="0" shapeId="0" xr:uid="{72732965-F495-4471-9805-B39003FE7C99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X11" authorId="0" shapeId="0" xr:uid="{E5D5A2C1-EABA-4C37-BFB1-EA32D8313932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5" authorId="0" shapeId="0" xr:uid="{F11B46AF-E66D-47DC-9BFB-484EFA3C2943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U5" authorId="0" shapeId="0" xr:uid="{920BFCD5-7A8D-4629-80A8-D81183B4DE3D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U6" authorId="0" shapeId="0" xr:uid="{927105D6-9302-40C8-98E9-C5E482DAF1E6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7" authorId="0" shapeId="0" xr:uid="{D6472BD8-2404-4689-B656-669EF0BEDCA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U7" authorId="0" shapeId="0" xr:uid="{CF96495E-959C-4265-A788-DEDA20C9DDC4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8" authorId="0" shapeId="0" xr:uid="{AE3DD1EA-4067-4ED9-8A93-5DE78095AAA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U8" authorId="0" shapeId="0" xr:uid="{2127586C-79C8-42DF-8E2E-00AA3A07972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9" authorId="0" shapeId="0" xr:uid="{F16CE825-9634-4261-86F4-50827C81309D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X9" authorId="0" shapeId="0" xr:uid="{F78A09AA-07C0-4D93-93E8-29A2E617290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0" authorId="0" shapeId="0" xr:uid="{E8BBE8A9-C5D8-4159-A1C6-B51D4FE59B9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X11" authorId="0" shapeId="0" xr:uid="{4242F9E7-1FF3-436D-ADC4-E153399688E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2" authorId="0" shapeId="0" xr:uid="{72E0ABBB-6C30-486F-AE56-D0D61E0F49D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U12" authorId="0" shapeId="0" xr:uid="{5762FEC1-1EAB-4847-855E-A876CF6FFDC3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2" authorId="0" shapeId="0" xr:uid="{7498C35E-16F3-45B7-871A-17E4864FDC9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" authorId="0" shapeId="0" xr:uid="{A9C443D2-62DF-4F15-9625-E6B10AE15AD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3" authorId="0" shapeId="0" xr:uid="{2E574667-AD05-41B1-A04C-EDEAD8CD51C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3" authorId="0" shapeId="0" xr:uid="{AB03EFFA-4424-4254-A4D6-0E460D418E15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4" authorId="0" shapeId="0" xr:uid="{961C0CF3-C905-47AF-8191-B02B80EEB0F3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4" authorId="0" shapeId="0" xr:uid="{1055ACA6-AE14-48D4-89DE-3FA6EDF1D863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5" authorId="0" shapeId="0" xr:uid="{7B7CE328-B53A-46B3-87D2-1B7B4A1FA20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5" authorId="0" shapeId="0" xr:uid="{1CFE0320-8C91-4885-9D5D-0DEDF99BBE09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6" authorId="0" shapeId="0" xr:uid="{1F6152DD-E87D-40A4-84D8-2AB8E2607806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6" authorId="0" shapeId="0" xr:uid="{6067A083-C2C8-4978-85D4-F7B08D074C35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7" authorId="0" shapeId="0" xr:uid="{923B074C-A00A-468F-AF9B-F8E0C5C8BE73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7" authorId="0" shapeId="0" xr:uid="{E588D8B7-663D-4FF6-BC2A-CB016BABCBAC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8" authorId="0" shapeId="0" xr:uid="{B8A45B07-F259-4FA2-898A-10102CA239D6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8" authorId="0" shapeId="0" xr:uid="{CBCCD754-C21D-4696-B7B6-ABD90BB868A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9" authorId="0" shapeId="0" xr:uid="{F1295DE8-BC34-4A09-A313-E808270A6B5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9" authorId="0" shapeId="0" xr:uid="{F123EAB1-DC1D-4F8F-90CD-9CA4B6DCC6CB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0" authorId="0" shapeId="0" xr:uid="{100EF768-1EFC-440D-A860-DCCDDAE29EB5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0" authorId="0" shapeId="0" xr:uid="{AC8221DF-2194-4D64-BAE3-23B3EBFA2BF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1" authorId="0" shapeId="0" xr:uid="{DC63D33B-00E3-4C7C-93E8-1D4A044C71C9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1" authorId="0" shapeId="0" xr:uid="{55A9DA9C-6CCD-4ABF-85AF-A5B49E0EC281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2" authorId="0" shapeId="0" xr:uid="{DC13BE42-E30E-4FAD-8E4F-4DBA2ACBF80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2" authorId="0" shapeId="0" xr:uid="{B949A2D1-BC43-4A65-8698-CDB53D96DCB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3" authorId="0" shapeId="0" xr:uid="{9F8F9BAB-6369-4D64-A2BB-B544E3019CA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3" authorId="0" shapeId="0" xr:uid="{279F242F-DA81-4D50-81D9-63CBA9714D01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4" authorId="0" shapeId="0" xr:uid="{20E8DED6-F51E-4059-815F-A206231BBCA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14" authorId="0" shapeId="0" xr:uid="{6CF54670-1B37-42DA-86F2-B08C641E5899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15" authorId="0" shapeId="0" xr:uid="{6DE2FF62-83D8-45DF-A222-A1AD2BCFC533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15" authorId="0" shapeId="0" xr:uid="{BCF8C036-DDB4-466C-9BB3-A2614AD1DBE6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16" authorId="0" shapeId="0" xr:uid="{F84FF437-1475-41B4-BDE3-F0B8FB13FBD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16" authorId="0" shapeId="0" xr:uid="{8618598C-D79E-49B3-8F2F-571F95AFC40C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17" authorId="0" shapeId="0" xr:uid="{BC7595EF-0B01-4737-AB51-870E4FB53D5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17" authorId="0" shapeId="0" xr:uid="{60213AA7-4D39-45BA-BFE9-12097C202CAE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18" authorId="0" shapeId="0" xr:uid="{ADB49524-106D-4B87-AE98-BD84F0B5C5AD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18" authorId="0" shapeId="0" xr:uid="{239B1533-83D0-4F03-9962-FB18625F3EC8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19" authorId="0" shapeId="0" xr:uid="{9DB5391A-8F4C-4EE2-A4F5-5A0B87BF4FE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19" authorId="0" shapeId="0" xr:uid="{D1E75AFB-5CE3-48A3-AFE8-21835D75BF70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20" authorId="0" shapeId="0" xr:uid="{3F105644-7332-468D-BD26-FA2B7D4941E3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20" authorId="0" shapeId="0" xr:uid="{1B5FB70F-259B-4AA4-BE51-AD06BE5B198C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21" authorId="0" shapeId="0" xr:uid="{75F4934C-E482-4E82-94E7-387EA6608D2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21" authorId="0" shapeId="0" xr:uid="{AF0C6AE3-024E-450F-B2DD-D7E99C8ACD67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22" authorId="0" shapeId="0" xr:uid="{12D6F03A-8913-4A3E-AE8C-362417658CE2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22" authorId="0" shapeId="0" xr:uid="{2BE84C30-2F5D-436A-8F72-78869CF1CD94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23" authorId="0" shapeId="0" xr:uid="{C5DFBCE9-75E8-4D06-A984-313F685FEFAE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23" authorId="0" shapeId="0" xr:uid="{EEC61564-E03B-4A56-B280-8D1531C35460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T24" authorId="0" shapeId="0" xr:uid="{D1B21B03-FFBC-4384-9217-7FBD62641B7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4" authorId="0" shapeId="0" xr:uid="{B409A058-60B7-4E16-8E1A-A04F9295C93A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24" authorId="0" shapeId="0" xr:uid="{28582E54-A56D-44E6-B8D6-4EE94FD0A231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T25" authorId="0" shapeId="0" xr:uid="{35BFAA9C-7199-43F8-8955-691E283C3219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5" authorId="0" shapeId="0" xr:uid="{FF3CCF87-694D-4186-B17F-894C41A2F009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25" authorId="0" shapeId="0" xr:uid="{66BF5BA2-1547-4686-B011-C89DDB22D239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T26" authorId="0" shapeId="0" xr:uid="{1020FC43-A7B3-448B-A66A-2B17E2E60E2D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6" authorId="0" shapeId="0" xr:uid="{A901B4D7-58AB-4922-A0F1-F5BC098DF76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26" authorId="0" shapeId="0" xr:uid="{CBF3DC02-A0E5-4F70-A8FD-AA9A184AA73D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T27" authorId="0" shapeId="0" xr:uid="{04B1123E-C915-4921-88CF-590779D393CF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7" authorId="0" shapeId="0" xr:uid="{CBE0A1C5-3733-4B74-B1AA-61BE79024CD3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27" authorId="0" shapeId="0" xr:uid="{F988D68E-B213-4AB5-9AAD-53D9DF607D14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28" authorId="0" shapeId="0" xr:uid="{DF178581-9F8F-4C3C-8EDA-3B7AD0326921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8" authorId="0" shapeId="0" xr:uid="{B5D5EC6A-D235-459E-A148-C682E2CF9E21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8" authorId="0" shapeId="0" xr:uid="{E24EB1A5-C56C-4A29-AC6B-B8B6450D060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29" authorId="0" shapeId="0" xr:uid="{F73FBB0E-50C4-4EAD-B349-B714BE43A42B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9" authorId="0" shapeId="0" xr:uid="{0710EBD0-E0C1-42C5-9FE0-EB19E8E4AA3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9" authorId="0" shapeId="0" xr:uid="{953988C4-DDFF-4D95-A430-739E3B69927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30" authorId="0" shapeId="0" xr:uid="{4A981E62-F641-4B69-B99F-3C353D2FBB1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30" authorId="0" shapeId="0" xr:uid="{E7158FC4-3018-426C-934E-5016BE2B26A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30" authorId="0" shapeId="0" xr:uid="{741BFE38-75F7-49E2-84D7-E68BB31D3BE9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31" authorId="0" shapeId="0" xr:uid="{C113CBD9-5F5D-4C74-B862-64350A6476FD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31" authorId="0" shapeId="0" xr:uid="{C9A44A25-BC1E-4BC1-A776-C125002913D6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31" authorId="0" shapeId="0" xr:uid="{612D65C4-EBCA-482B-9E9B-E70283CC9C2E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32" authorId="0" shapeId="0" xr:uid="{B3B63F22-5ED9-4191-91A5-7E32C875BEE5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32" authorId="0" shapeId="0" xr:uid="{A1363714-E4C9-4A43-8B6A-39F30D5EE9F5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32" authorId="0" shapeId="0" xr:uid="{29AD2179-5054-47D8-805D-75AEC53246F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33" authorId="0" shapeId="0" xr:uid="{801E86D1-DD13-437A-B35C-2C74A045E07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33" authorId="0" shapeId="0" xr:uid="{BE75D05D-4E51-4253-9A08-B4557B49040D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33" authorId="0" shapeId="0" xr:uid="{6BE45B5B-591D-4AEF-8F6A-77D4935F7EE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34" authorId="0" shapeId="0" xr:uid="{7EFE2A89-E02F-4C31-ADEA-BED88F8A940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34" authorId="0" shapeId="0" xr:uid="{86217C53-D13D-4FD9-8835-7D40421591D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34" authorId="0" shapeId="0" xr:uid="{9F14F73C-1B7C-4A17-A149-F10FDD26204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34" authorId="0" shapeId="0" xr:uid="{34D143F3-AF58-4139-AE30-40D14F43B7AE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35" authorId="0" shapeId="0" xr:uid="{107DD165-681B-4A47-807E-C1132ECC9A7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35" authorId="0" shapeId="0" xr:uid="{51230B9A-0EFD-4424-A6CE-3F1C1B46C469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35" authorId="0" shapeId="0" xr:uid="{E6B731DD-809B-4510-A1FE-09D90394E728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35" authorId="0" shapeId="0" xr:uid="{45D6B61B-85AB-43BB-A43F-DF6997EC766D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36" authorId="0" shapeId="0" xr:uid="{E537744E-55BC-4977-9968-BEFC73F0E2B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36" authorId="0" shapeId="0" xr:uid="{8DEFE6DC-54D8-4F3B-B0B3-BDAE258FF14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36" authorId="0" shapeId="0" xr:uid="{39A9691E-4E92-44C5-B5A3-53603BED4408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36" authorId="0" shapeId="0" xr:uid="{43ADEA76-F794-47EB-B792-C7A257C62291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37" authorId="0" shapeId="0" xr:uid="{9128BE78-0DEF-4AFF-826B-EF1C90E3ED6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37" authorId="0" shapeId="0" xr:uid="{A5DBEC1C-612A-4428-A581-FB17FD70C1F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37" authorId="0" shapeId="0" xr:uid="{485CED5C-D8A8-49CE-AD08-12284D2BA88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37" authorId="0" shapeId="0" xr:uid="{F7946DE8-47C8-4E66-A377-4F95954C3BA7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38" authorId="0" shapeId="0" xr:uid="{1CE6DCD7-7F86-4B19-9D6C-AD6DE2D4F1E6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38" authorId="0" shapeId="0" xr:uid="{97CF409A-32C3-4803-9CD9-6D1707E06DE6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38" authorId="0" shapeId="0" xr:uid="{69A1B8E0-05BA-4A21-B537-34801C5E881C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39" authorId="0" shapeId="0" xr:uid="{FF1A3E94-7322-4FF8-A53B-C1ABF665F4AD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39" authorId="0" shapeId="0" xr:uid="{9F569157-863C-429B-9BE2-EBEA623795C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39" authorId="0" shapeId="0" xr:uid="{26C9FB89-2779-4895-95F8-BCDC46EA2F8C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40" authorId="0" shapeId="0" xr:uid="{063AA500-442F-468E-9DB9-DEF2E5AD80C5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40" authorId="0" shapeId="0" xr:uid="{046F3066-6B7F-4477-9BD4-60644720DC71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40" authorId="0" shapeId="0" xr:uid="{3AB6346B-B15F-4B32-8115-BC7EB88737D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41" authorId="0" shapeId="0" xr:uid="{1B7EF46F-1CB9-4247-9C50-8A940503BC36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41" authorId="0" shapeId="0" xr:uid="{06847356-8A6E-43D0-B028-395200B854F1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41" authorId="0" shapeId="0" xr:uid="{3180AA15-0D9A-4717-B106-C2500E31198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42" authorId="0" shapeId="0" xr:uid="{BECD8B37-BE3E-4F54-9686-DC8A8792685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42" authorId="0" shapeId="0" xr:uid="{8B2AD56F-A970-4D99-BA85-1A6C11DA1306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43" authorId="0" shapeId="0" xr:uid="{12C9FD65-9C64-4FEF-B83C-C8E906CEDB9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43" authorId="0" shapeId="0" xr:uid="{A760428B-79A6-4DD5-8CC6-1EC2EB16EBFF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44" authorId="0" shapeId="0" xr:uid="{B45C1E97-7D71-4927-AED0-CDA623282F2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44" authorId="0" shapeId="0" xr:uid="{310BD6BC-18DA-4386-8765-E20D496E57A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45" authorId="0" shapeId="0" xr:uid="{A052BBEA-16FC-41C6-A812-6168611872DE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45" authorId="0" shapeId="0" xr:uid="{4E6DA9A3-6757-4248-8A34-E72026706E4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46" authorId="0" shapeId="0" xr:uid="{80EA74E2-F937-4A32-97A0-A4D4D9742C7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46" authorId="0" shapeId="0" xr:uid="{93E49E6F-F819-4D91-A18D-02AF3585E88A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47" authorId="0" shapeId="0" xr:uid="{CB9E1FA1-E567-4D28-BDB0-16697FF8454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47" authorId="0" shapeId="0" xr:uid="{296F7853-EA9B-4682-8EA2-F28F772730A1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48" authorId="0" shapeId="0" xr:uid="{25603CF4-9724-4AD3-9305-96CB5C24CD78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48" authorId="0" shapeId="0" xr:uid="{2E1789DE-6676-467D-A6B7-B9CC94F5EBC8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49" authorId="0" shapeId="0" xr:uid="{EE882ED7-9832-4CBB-841D-036F82A7D1C8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49" authorId="0" shapeId="0" xr:uid="{E6F731B6-2A55-4801-BD2C-A9DA7F8A200C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50" authorId="0" shapeId="0" xr:uid="{DB1FEA54-A29C-41DB-952B-7BA36C4E596C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50" authorId="0" shapeId="0" xr:uid="{5630A886-99E5-4BB6-BECA-4E99998E503E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51" authorId="0" shapeId="0" xr:uid="{964B1DC3-6742-49F8-ADF0-719EB6E998DF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52" authorId="0" shapeId="0" xr:uid="{95FAF959-8C3E-49FE-B66D-32B12D37C740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53" authorId="0" shapeId="0" xr:uid="{E630CED6-5250-4BA0-A7E6-3F6C29D10AD3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54" authorId="0" shapeId="0" xr:uid="{14C9D970-2D90-40C8-9AD3-2215C2AEE71E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55" authorId="0" shapeId="0" xr:uid="{74E5012A-D7FD-4692-B34E-75209B96E7C1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56" authorId="0" shapeId="0" xr:uid="{895DD2F5-06BD-4E25-992A-38FB64A8F35D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56" authorId="0" shapeId="0" xr:uid="{6B102728-C0DD-4A53-95A8-777E9D6453F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57" authorId="0" shapeId="0" xr:uid="{DBE6DD33-CC06-4EE6-A705-F87FCC11947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57" authorId="0" shapeId="0" xr:uid="{82970727-08D7-49F6-996C-09067D80FAB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58" authorId="0" shapeId="0" xr:uid="{4E472E2C-76AC-4EFE-9BBC-E103D3779046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58" authorId="0" shapeId="0" xr:uid="{1F0E208E-E797-42F4-90AB-25E895D3DF35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59" authorId="0" shapeId="0" xr:uid="{E5C9E09E-DCFE-4173-8877-F493B28E7BC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59" authorId="0" shapeId="0" xr:uid="{FC7E75B6-53C3-4AFD-BE4F-CDE974697C0E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60" authorId="0" shapeId="0" xr:uid="{C3D9517C-AE04-4BA7-9A48-EC9386548BE3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60" authorId="0" shapeId="0" xr:uid="{E43CD827-A5C1-491A-8C7F-56649D62A207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60" authorId="0" shapeId="0" xr:uid="{D92E1637-1EF7-46DE-B6D8-DB87B5A3FAE8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61" authorId="0" shapeId="0" xr:uid="{C70EE666-1B0C-4EBC-A0F1-40F4CD6305FD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61" authorId="0" shapeId="0" xr:uid="{E46C2922-7BF9-48EC-BB69-997E1E0030F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61" authorId="0" shapeId="0" xr:uid="{E9A4BB82-4BE7-414A-8FEF-DA5F6839105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62" authorId="0" shapeId="0" xr:uid="{F4C3E781-2BE0-4372-82AC-D35B9B0B889F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62" authorId="0" shapeId="0" xr:uid="{3AE6E792-47EA-4EF3-A7BD-ADAD6ACBD85C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62" authorId="0" shapeId="0" xr:uid="{5528574F-7AF4-41E0-97B4-9E85DA59DA4A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63" authorId="0" shapeId="0" xr:uid="{BBC3DAC4-CC13-4A17-98C4-EEEBFA0A47E5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63" authorId="0" shapeId="0" xr:uid="{E7C1BE16-12B1-40EA-BA74-43A753B01D5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63" authorId="0" shapeId="0" xr:uid="{33C5FDC3-B4AE-4338-8BB8-B9F1995FCC6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64" authorId="0" shapeId="0" xr:uid="{34EC6491-CB99-429F-A1C4-E98A9A3F99B0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64" authorId="0" shapeId="0" xr:uid="{4FD7597C-D7EE-443B-9C9C-8153EAD1CF5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64" authorId="0" shapeId="0" xr:uid="{301E5D34-4CC6-4131-BEF3-70510C9927D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65" authorId="0" shapeId="0" xr:uid="{DCFEF4F5-4B5D-4300-A191-3C1D837B5957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65" authorId="0" shapeId="0" xr:uid="{9B99E851-26F9-4B4E-ACA4-4B15D2E6592C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65" authorId="0" shapeId="0" xr:uid="{18A39DAF-73D2-4E0D-894C-A015400D26A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66" authorId="0" shapeId="0" xr:uid="{51EE2057-85E1-42C7-B7B2-C233EF34FCC2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66" authorId="0" shapeId="0" xr:uid="{E2716D0B-4345-49B9-9896-E3DDF6F27B3E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66" authorId="0" shapeId="0" xr:uid="{D7EF5C7B-2D9F-413E-9627-EC984F8BF3B3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67" authorId="0" shapeId="0" xr:uid="{2D6DD61B-211E-4FC5-A162-D11616A5B377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67" authorId="0" shapeId="0" xr:uid="{AA0B35EF-7496-4872-82BA-538C33C9AB47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67" authorId="0" shapeId="0" xr:uid="{BA2C44C0-88A4-422E-861A-E2AF691A269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68" authorId="0" shapeId="0" xr:uid="{C6A33005-0809-4F7E-AFC7-B44931607DDF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68" authorId="0" shapeId="0" xr:uid="{173670D3-F386-43A8-8583-5C4AA7FE72E1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68" authorId="0" shapeId="0" xr:uid="{5758AAB1-161F-4783-AFD9-A5B9E47418E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69" authorId="0" shapeId="0" xr:uid="{4D576948-7F93-482A-B6A9-E15D567E36CD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70" authorId="0" shapeId="0" xr:uid="{2501EC40-E980-4FB6-B886-3DA85493929D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71" authorId="0" shapeId="0" xr:uid="{EB575F22-9DF2-4AD7-AA1E-A1AE199628D5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72" authorId="0" shapeId="0" xr:uid="{60DBFF02-8FC0-4470-88BE-AAFD85864D0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73" authorId="0" shapeId="0" xr:uid="{97BB368A-1C17-4C38-B6F9-CB27194C291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74" authorId="0" shapeId="0" xr:uid="{C61484A3-A01E-44D7-87AC-EECE79817C9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75" authorId="0" shapeId="0" xr:uid="{E9F48095-D22D-4495-BA95-16C78F40CC6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76" authorId="0" shapeId="0" xr:uid="{E9F0B646-FFF7-45A4-A031-1CFBEA0B0D9D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77" authorId="0" shapeId="0" xr:uid="{4BC079D7-9C98-423C-BC6D-D8C9D021CD7D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78" authorId="0" shapeId="0" xr:uid="{EBBFD3BE-92F9-49A2-9439-53890E866829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79" authorId="0" shapeId="0" xr:uid="{65E01495-A3A0-4084-849B-A4556C28414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79" authorId="0" shapeId="0" xr:uid="{394B11A4-F565-4E11-A19E-C6421AFC967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80" authorId="0" shapeId="0" xr:uid="{619486F3-2F1E-4094-9D71-CDBBD7F4DDC9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80" authorId="0" shapeId="0" xr:uid="{3A59BCF3-3A6A-451C-9F53-12FCBBB429E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81" authorId="0" shapeId="0" xr:uid="{2719A61E-A9EE-4E10-B01C-73CD2BFF668B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81" authorId="0" shapeId="0" xr:uid="{8E0FDFC3-CAB0-407C-94DB-71FDC3E60A44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82" authorId="0" shapeId="0" xr:uid="{F430E91E-76CC-40CF-A871-8DE4F0C83D92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82" authorId="0" shapeId="0" xr:uid="{A941A5DE-A260-44EE-AEA7-B97FF8F09335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83" authorId="0" shapeId="0" xr:uid="{F7E15557-9AB6-4501-996E-6017F1DFF277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83" authorId="0" shapeId="0" xr:uid="{2464DE5F-80C7-4B62-A7FA-77734583A65D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84" authorId="0" shapeId="0" xr:uid="{84639BD1-B27D-431D-822A-40C3B2C5C78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84" authorId="0" shapeId="0" xr:uid="{C9BD2017-0E32-4B83-9392-C8071F80486E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85" authorId="0" shapeId="0" xr:uid="{7010F04D-C33A-4C91-97A2-1CBA86F1345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85" authorId="0" shapeId="0" xr:uid="{1B3B5846-057A-4C87-A816-90383C9CC95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86" authorId="0" shapeId="0" xr:uid="{45D9B98D-F9DD-45D5-80A2-31BD84BAD04D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86" authorId="0" shapeId="0" xr:uid="{C93F84C7-030F-4203-A783-2C6B27315896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87" authorId="0" shapeId="0" xr:uid="{3CBD3DCE-41ED-42C4-8792-9B6679AD524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87" authorId="0" shapeId="0" xr:uid="{E566497D-B6EF-474D-ACEF-30E7F1A1078D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88" authorId="0" shapeId="0" xr:uid="{3D9BDCB2-8A3A-4CDD-87BD-B57109CB6703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88" authorId="0" shapeId="0" xr:uid="{D7190AF9-7A09-4470-8CE7-8D816EFFA67B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88" authorId="0" shapeId="0" xr:uid="{59516353-5D7A-42FD-AE41-E8BC35696DB3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88" authorId="0" shapeId="0" xr:uid="{848035D9-6F5F-406F-ACD9-DE2B00DED9F1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89" authorId="0" shapeId="0" xr:uid="{6D6D2355-94B6-4B4D-AD72-ED81AA02451F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89" authorId="0" shapeId="0" xr:uid="{0A486CAB-96BC-4048-9E9C-0232526EC2B9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89" authorId="0" shapeId="0" xr:uid="{131161EC-C354-4A2A-AC12-CEB320FADF9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89" authorId="0" shapeId="0" xr:uid="{A15C6083-413B-4EE9-BA2B-B185BC9274E7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90" authorId="0" shapeId="0" xr:uid="{9C78B89F-1E43-45C8-9C49-F5529D7E25C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90" authorId="0" shapeId="0" xr:uid="{6D6EFF50-7842-422E-8A83-C212A8D3E12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90" authorId="0" shapeId="0" xr:uid="{82584F51-FF22-4333-A5FF-506BB4AAD7E6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90" authorId="0" shapeId="0" xr:uid="{5DE6E30A-8BB6-4E9F-870E-CB3A975BAB3E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91" authorId="0" shapeId="0" xr:uid="{CC71EBC1-536B-431F-BFD0-71EBAA04ECA0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91" authorId="0" shapeId="0" xr:uid="{76138BDC-39AD-4BBA-9060-0B0E68E4EBE7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91" authorId="0" shapeId="0" xr:uid="{7224AEA4-CFBE-46DF-B65E-99B113161C4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91" authorId="0" shapeId="0" xr:uid="{AC8A6254-D808-4BFB-8957-BED53E1CDBE8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92" authorId="0" shapeId="0" xr:uid="{F8D06475-992F-41FB-A0EC-51038C7DC636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92" authorId="0" shapeId="0" xr:uid="{B77B8926-152C-4799-ADCD-C28180BBF60D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93" authorId="0" shapeId="0" xr:uid="{4336D8E3-E805-4C29-A401-03157DE0FC22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93" authorId="0" shapeId="0" xr:uid="{8FE8D28E-931B-4A32-B518-FBC09714B46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94" authorId="0" shapeId="0" xr:uid="{74F503A8-A758-4FE0-8578-0B4B79574FA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94" authorId="0" shapeId="0" xr:uid="{FAEBEECD-A8B2-4A1D-934E-18934D95FB1F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95" authorId="0" shapeId="0" xr:uid="{B619B6AB-AFEE-484A-B400-4DC0DD2E8EDE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95" authorId="0" shapeId="0" xr:uid="{B6F56837-4891-49AB-BDF9-83D41C201E9F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96" authorId="0" shapeId="0" xr:uid="{53D045D6-29AF-4E6E-BC86-A21C5A1743D7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96" authorId="0" shapeId="0" xr:uid="{AE102A86-8DDC-4C49-A6A0-89B2E14A544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97" authorId="0" shapeId="0" xr:uid="{8D4C01A8-6F58-4D1B-9BD5-9FC6628328E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97" authorId="0" shapeId="0" xr:uid="{A03AD2FC-CF1E-42E9-8058-955C60684DC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97" authorId="0" shapeId="0" xr:uid="{0939F43C-76FB-42E3-ACF4-6ABC66A5894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98" authorId="0" shapeId="0" xr:uid="{76E0A19E-C742-4D1C-AD24-D5684D7C1993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98" authorId="0" shapeId="0" xr:uid="{A91F86BD-6D70-4484-AF88-84B74235E704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98" authorId="0" shapeId="0" xr:uid="{2E334B50-370E-4467-8A5D-EFE7EE82B78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99" authorId="0" shapeId="0" xr:uid="{E7D24536-56ED-4E3C-8E0D-1C3B97BF4C6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99" authorId="0" shapeId="0" xr:uid="{D16BBC02-C45C-4779-96D6-003496A0F1A6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99" authorId="0" shapeId="0" xr:uid="{B9C77C89-6389-44E6-99C7-2D680CC7060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00" authorId="0" shapeId="0" xr:uid="{11F2E62B-0058-465D-8C98-13D50EA3AB59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00" authorId="0" shapeId="0" xr:uid="{1C6745B6-DF7A-4ACF-AB37-76C4FA453DF9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00" authorId="0" shapeId="0" xr:uid="{53E22365-8FE8-424C-84ED-DA572154175D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01" authorId="0" shapeId="0" xr:uid="{884C5B4E-88A4-4942-AEA3-2EE20C23EA7C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01" authorId="0" shapeId="0" xr:uid="{0471544B-8EAE-4B79-A0FB-BF5CCCD5F1AD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02" authorId="0" shapeId="0" xr:uid="{E3FCC3A5-33A8-425B-8460-00FCF9BDF2BB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02" authorId="0" shapeId="0" xr:uid="{E139577A-F3FF-4942-A6F7-B1026659C4E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03" authorId="0" shapeId="0" xr:uid="{487D245F-8D2E-44C6-A804-57CAA6F7CC11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03" authorId="0" shapeId="0" xr:uid="{A06C4709-2FC9-4533-A62B-EC8519E2487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04" authorId="0" shapeId="0" xr:uid="{9812A5C9-0AED-4C07-8715-4F602626222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04" authorId="0" shapeId="0" xr:uid="{3135417D-F5E7-4F80-8601-BC282F6571F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05" authorId="0" shapeId="0" xr:uid="{25F0E0EB-6A6E-468B-ABED-5ED930D76859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05" authorId="0" shapeId="0" xr:uid="{03B3EFDB-EDCD-4478-AD29-97105AD115BD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06" authorId="0" shapeId="0" xr:uid="{20251338-766A-46A6-9F20-BC58C31EF7A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06" authorId="0" shapeId="0" xr:uid="{D9B0F230-1E33-42F7-AE77-5DFCEDB1A84E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07" authorId="0" shapeId="0" xr:uid="{1D01921D-8350-4E2B-9D8C-935873976C40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07" authorId="0" shapeId="0" xr:uid="{F51DF039-CE75-481A-AD52-8D73DF9E0E59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08" authorId="0" shapeId="0" xr:uid="{E4F2C700-80AC-44EE-967F-8D149F98F4F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08" authorId="0" shapeId="0" xr:uid="{83504413-7A9B-4C23-976A-CE6E7A4AC4F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09" authorId="0" shapeId="0" xr:uid="{AA37BCFB-8915-4179-AAB3-86D818B4F96F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09" authorId="0" shapeId="0" xr:uid="{E18C97C3-AF04-465C-9CF6-AA80DB319FAE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10" authorId="0" shapeId="0" xr:uid="{D181B60F-F9EB-4300-9994-35871552DD1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10" authorId="0" shapeId="0" xr:uid="{2F21FAF1-1E77-4ED0-97ED-A24A83C043D6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11" authorId="0" shapeId="0" xr:uid="{F04F1244-8F09-4134-94F8-67CA2447832D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11" authorId="0" shapeId="0" xr:uid="{C806730D-3761-456D-8CCB-A6E959840F7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12" authorId="0" shapeId="0" xr:uid="{DEB52B08-B6B3-4735-9F52-F741547A9473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12" authorId="0" shapeId="0" xr:uid="{3E57084A-FBC5-4772-9709-B3E102545DD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13" authorId="0" shapeId="0" xr:uid="{2ACF6056-722D-4047-B425-C340AE306FE5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13" authorId="0" shapeId="0" xr:uid="{5FEE9FE8-86DB-4379-B163-D36936F8C739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14" authorId="0" shapeId="0" xr:uid="{3DA4E658-50E7-4E5C-BE88-564462656AE9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14" authorId="0" shapeId="0" xr:uid="{EF67C43F-EB8A-477C-825F-ABC106225ED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15" authorId="0" shapeId="0" xr:uid="{A90A75BD-AD3F-4828-BD01-218018EC7B10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116" authorId="0" shapeId="0" xr:uid="{1F754FBC-1205-43FC-8ACB-3AEF68CD595B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117" authorId="0" shapeId="0" xr:uid="{821DB7F5-B19A-4F53-9FEA-33A15915622E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118" authorId="0" shapeId="0" xr:uid="{6BF5CA39-73CF-4857-A879-DCAAFCC36B1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119" authorId="0" shapeId="0" xr:uid="{C1194E11-DAFC-469A-8E27-A4545159262B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120" authorId="0" shapeId="0" xr:uid="{9A6CA7FF-EC41-47BA-822B-3759EEA84B95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20" authorId="0" shapeId="0" xr:uid="{F1D6B661-56F4-49BE-AADB-DD422B6E00C3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21" authorId="0" shapeId="0" xr:uid="{86CC1751-6224-4CAC-A900-D293250569D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21" authorId="0" shapeId="0" xr:uid="{8E390F3F-10F8-4E3A-A84D-0DF55219A56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22" authorId="0" shapeId="0" xr:uid="{66C2FFC7-5E4F-4098-96F1-BEABD956BEAF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22" authorId="0" shapeId="0" xr:uid="{FD049521-2925-43C8-BAA0-324C3450319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23" authorId="0" shapeId="0" xr:uid="{05BC006E-6E2E-4F07-ACE3-5E294D792525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23" authorId="0" shapeId="0" xr:uid="{652008E7-E0F9-4AFE-8398-6A758E2632D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24" authorId="0" shapeId="0" xr:uid="{89FBA178-2CF6-43B0-9562-271E5642E621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24" authorId="0" shapeId="0" xr:uid="{8E430CB8-6C9C-4FF9-93E6-D20B5ADD174B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24" authorId="0" shapeId="0" xr:uid="{58F68FF3-5305-46E1-880C-88E116411248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25" authorId="0" shapeId="0" xr:uid="{BB8D6372-4E3B-410B-A26D-5D5C9B7D592B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25" authorId="0" shapeId="0" xr:uid="{46910464-327B-4078-B087-9B6460C7B6DE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25" authorId="0" shapeId="0" xr:uid="{D835B007-BF39-4D97-B999-1D679ECED756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26" authorId="0" shapeId="0" xr:uid="{EBE7E928-C333-4E99-94C6-66EFF8872B91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26" authorId="0" shapeId="0" xr:uid="{5B703BE4-31F7-4BCA-BB90-27DD4955050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26" authorId="0" shapeId="0" xr:uid="{A4FC0A3F-4697-4E08-8FD4-BCDC270C9A5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27" authorId="0" shapeId="0" xr:uid="{70E7C081-D4F5-428B-86ED-B58E4C95332E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27" authorId="0" shapeId="0" xr:uid="{2D5DAFB7-552B-4837-AB09-8335527001A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27" authorId="0" shapeId="0" xr:uid="{16E15D1C-ABE7-46BC-8894-BC1AC625883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28" authorId="0" shapeId="0" xr:uid="{B3973502-4177-420C-AA8B-AD7735F18F76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28" authorId="0" shapeId="0" xr:uid="{682B373D-CF54-418B-A1CC-6ACD64C2978D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28" authorId="0" shapeId="0" xr:uid="{F2FC121D-FF43-42BB-8974-E0D3EA4A39F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29" authorId="0" shapeId="0" xr:uid="{2A0753CD-0534-4E70-AAEC-6CE4945978D1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29" authorId="0" shapeId="0" xr:uid="{1E37C242-5AD8-4434-A684-32DD26B12D6E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29" authorId="0" shapeId="0" xr:uid="{308F10E8-A3DD-419A-8188-085DF9F97F02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30" authorId="0" shapeId="0" xr:uid="{178D8492-7214-4C73-9341-0262D827D23E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30" authorId="0" shapeId="0" xr:uid="{E5B3004E-557D-46A2-A3DE-6540EA626725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30" authorId="0" shapeId="0" xr:uid="{7FEA1448-0A7F-4E5D-BF57-ABDF5E1AB15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31" authorId="0" shapeId="0" xr:uid="{F05C9648-3D1E-429A-B1E7-F423E133A63B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31" authorId="0" shapeId="0" xr:uid="{793F50AD-56A6-4515-840B-19E601600264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31" authorId="0" shapeId="0" xr:uid="{49F347FD-4559-4809-BF0E-3E9741D392E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32" authorId="0" shapeId="0" xr:uid="{5B87A215-FF3C-4F62-AF5F-45B354774BFB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32" authorId="0" shapeId="0" xr:uid="{ACC99B55-F4A0-4C2A-A049-9F013B5870E9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32" authorId="0" shapeId="0" xr:uid="{732F3674-7BF2-4E7B-89C9-EDCC8497380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33" authorId="0" shapeId="0" xr:uid="{2A989A00-B177-425B-9176-86026CB14E0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134" authorId="0" shapeId="0" xr:uid="{CC94F0D3-5740-4767-9547-F52974550EF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135" authorId="0" shapeId="0" xr:uid="{161B2AA4-D556-4FCC-8BB6-35AF236998A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136" authorId="0" shapeId="0" xr:uid="{92F531EB-CE45-44A2-9161-917D5895F09F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137" authorId="0" shapeId="0" xr:uid="{F36F0EED-D50E-44D5-8A6E-3656DDBA9D14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38" authorId="0" shapeId="0" xr:uid="{CFC10FA8-5836-417E-9E71-B8B198D9BF2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38" authorId="0" shapeId="0" xr:uid="{598E722D-2C70-4F71-987A-BCBDA20A4DA1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39" authorId="0" shapeId="0" xr:uid="{83364245-CE69-47BB-AB32-D795D4C2895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39" authorId="0" shapeId="0" xr:uid="{1B14E7C9-4C59-4415-B60F-287383DAFD44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40" authorId="0" shapeId="0" xr:uid="{892E1F2B-BB1B-44EF-B51C-C4A7895544E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40" authorId="0" shapeId="0" xr:uid="{575246DC-0732-4468-8CAD-A246ACE3B716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41" authorId="0" shapeId="0" xr:uid="{6BC438DD-F68B-4EBE-A602-78916D5FE30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41" authorId="0" shapeId="0" xr:uid="{579E66D1-6830-4F60-A69D-EC37D96B5F13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42" authorId="0" shapeId="0" xr:uid="{CF540544-EE2A-49F7-812E-F16A7E92323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42" authorId="0" shapeId="0" xr:uid="{8E26E60D-CE8E-4A27-A312-3D5A63E016EF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43" authorId="0" shapeId="0" xr:uid="{C5020E9C-A00F-471D-B13D-3EF67717CBD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44" authorId="0" shapeId="0" xr:uid="{0C537757-8D96-4574-B40D-D0F24C9446C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45" authorId="0" shapeId="0" xr:uid="{4044FF82-FE1F-4B73-AFF5-FC341D3C78A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46" authorId="0" shapeId="0" xr:uid="{D7F7AFED-2B04-4F0E-B3EF-AC2955D49BE2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47" authorId="0" shapeId="0" xr:uid="{1C5FBE02-B27B-4576-B9CA-F16470E4E646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147" authorId="0" shapeId="0" xr:uid="{8E64F6C3-E9CE-4DAD-9D1C-D8919D8EC6FA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48" authorId="0" shapeId="0" xr:uid="{B75174B3-5C40-4887-8D6C-732BC9C4E84F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148" authorId="0" shapeId="0" xr:uid="{56FE9682-CA7A-4B7E-9EF8-BFDF2F9413E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49" authorId="0" shapeId="0" xr:uid="{E6058D82-CB69-41ED-AEA1-586C270561F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149" authorId="0" shapeId="0" xr:uid="{2BA8BEE8-BFDF-41EB-A4E7-7D4458379CD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50" authorId="0" shapeId="0" xr:uid="{6A71384B-CC55-4841-9C3D-9FDF86677B1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150" authorId="0" shapeId="0" xr:uid="{6817F941-9D2F-45DA-9541-68A2BA12A49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51" authorId="0" shapeId="0" xr:uid="{428A4389-04E6-45C6-BB3C-1B02216752D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151" authorId="0" shapeId="0" xr:uid="{E186443F-959F-4AE0-9A2C-27690734CA32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52" authorId="0" shapeId="0" xr:uid="{AA0B287D-5739-4439-ABD5-64CAA935179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52" authorId="0" shapeId="0" xr:uid="{9A1F49FB-EEF1-46C1-A71D-953C98C98FB4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52" authorId="0" shapeId="0" xr:uid="{6AA1846A-310D-4484-AD1F-2B7334A887AC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152" authorId="0" shapeId="0" xr:uid="{23A3B427-EBDC-496D-9A18-34483B55B581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153" authorId="0" shapeId="0" xr:uid="{23026C67-E95D-4149-AE51-39FD71B4E0A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53" authorId="0" shapeId="0" xr:uid="{A4FC73D2-1BB1-4FD3-A515-39817556EF1D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53" authorId="0" shapeId="0" xr:uid="{663AB4CE-A2A1-4D8C-A129-6F449801F26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153" authorId="0" shapeId="0" xr:uid="{26338E2D-F359-45B8-947F-E1E54CFE710E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154" authorId="0" shapeId="0" xr:uid="{C5F0BEAA-245E-4DFC-93AC-CF40E429EBD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54" authorId="0" shapeId="0" xr:uid="{3D14565B-F303-4C22-8521-E01D932F8271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54" authorId="0" shapeId="0" xr:uid="{2F6EA94B-58F6-42FE-9AB9-14770CAF3F09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154" authorId="0" shapeId="0" xr:uid="{3C5FF17A-96E1-4897-96F3-043A67F5B095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155" authorId="0" shapeId="0" xr:uid="{E06822E5-F0BE-43A9-94FB-E5AD87605BF5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55" authorId="0" shapeId="0" xr:uid="{82ACC2DD-0D48-4EE2-B5DF-0EB052CAD97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55" authorId="0" shapeId="0" xr:uid="{509FED4A-D20E-4919-AFF2-A9436F8D2FB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155" authorId="0" shapeId="0" xr:uid="{A89D1151-884C-407B-A542-5185A91F555C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156" authorId="0" shapeId="0" xr:uid="{367CDC97-39D5-45C1-9233-B40CC1D97E56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57" authorId="0" shapeId="0" xr:uid="{9494EC79-A0FF-4583-99B4-73EDD403F6F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58" authorId="0" shapeId="0" xr:uid="{9E3BB169-0C36-4604-ADDF-8E8741E25EFD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59" authorId="0" shapeId="0" xr:uid="{4C84E0DD-7D01-4082-93A6-044BD2FA0C8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60" authorId="0" shapeId="0" xr:uid="{1262DFA8-D9C7-4FB8-9667-7586430331C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61" authorId="0" shapeId="0" xr:uid="{84DB0C21-0B5F-4B93-8463-A26DB8A04B78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62" authorId="0" shapeId="0" xr:uid="{D57C9CDF-6DC0-4B5B-B51B-25E23714E53C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63" authorId="0" shapeId="0" xr:uid="{0730D017-5314-40A6-B185-FDDAB5EFDA6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64" authorId="0" shapeId="0" xr:uid="{6DAF38B8-D6B7-4A51-BB08-FF06FF2E82DF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65" authorId="0" shapeId="0" xr:uid="{784042A1-F7EC-479A-91EA-CE1E9BBFC1BD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65" authorId="0" shapeId="0" xr:uid="{D777C18F-CEA5-400B-A903-30960056950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66" authorId="0" shapeId="0" xr:uid="{063C4B11-B3E8-4ECA-AC0F-2D5A84B268F6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66" authorId="0" shapeId="0" xr:uid="{83A12A14-5456-4F09-A61B-A7B8553DCB63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67" authorId="0" shapeId="0" xr:uid="{5DAB440B-15AE-447B-B24E-27E941DCAFD6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67" authorId="0" shapeId="0" xr:uid="{7F9525BF-E24B-4876-B7C6-24108C71CBC9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68" authorId="0" shapeId="0" xr:uid="{872D40C7-1941-4C74-96FD-84C2208044F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68" authorId="0" shapeId="0" xr:uid="{487F52CC-C340-4BC7-BED4-281A3D1A9818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69" authorId="0" shapeId="0" xr:uid="{6A521335-5335-44EC-A15D-B266A8326CD7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69" authorId="0" shapeId="0" xr:uid="{B8BB51C0-9CC0-4475-B3A1-8CB5EBA24093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70" authorId="0" shapeId="0" xr:uid="{86ACFCE8-CC5F-4896-9DFE-49949BD65D6C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71" authorId="0" shapeId="0" xr:uid="{9895D913-B096-4835-928C-02EED871D0F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72" authorId="0" shapeId="0" xr:uid="{3031B4C7-1650-49EB-B417-9CDDB11B500A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73" authorId="0" shapeId="0" xr:uid="{691A4916-A5C6-41A7-AA70-57BACA28D00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74" authorId="0" shapeId="0" xr:uid="{24062B39-CB29-436E-B5AC-8051E155ED7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75" authorId="0" shapeId="0" xr:uid="{8B6675CA-2CD9-4D8E-BD5F-212262BEB96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76" authorId="0" shapeId="0" xr:uid="{B915452C-C1DB-4799-9738-723E1A3972F2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77" authorId="0" shapeId="0" xr:uid="{10D3FAFF-0921-42C9-AD89-DE348916C622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78" authorId="0" shapeId="0" xr:uid="{CA4A39A6-5F1C-4486-AA2D-564C1C69555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179" authorId="0" shapeId="0" xr:uid="{98A97BDA-B8E3-49C4-8A54-33B7D0C7A3A7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180" authorId="0" shapeId="0" xr:uid="{E23A4E7B-2A78-4573-BE2F-926265E9F226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181" authorId="0" shapeId="0" xr:uid="{1ADED217-C89F-4589-A29A-E9EF74099FB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182" authorId="0" shapeId="0" xr:uid="{38050D9A-7549-4D6C-8A62-663EB48890A2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183" authorId="0" shapeId="0" xr:uid="{C0B63411-82AC-4F57-B7E5-569FEAC61AC2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184" authorId="0" shapeId="0" xr:uid="{CEAB439A-25A8-4F5F-8634-30FD50151782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84" authorId="0" shapeId="0" xr:uid="{F4D3B33C-8A8A-4F63-BE97-9E79CAA12F17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85" authorId="0" shapeId="0" xr:uid="{3D2DB49B-D280-42DD-A53C-A2BA82F47E80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85" authorId="0" shapeId="0" xr:uid="{81DBFE71-8A55-4376-AA75-90B472DFEFB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86" authorId="0" shapeId="0" xr:uid="{09416ACA-0057-4C8F-AFA2-5A2574AD6C33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86" authorId="0" shapeId="0" xr:uid="{51AA06BF-FC42-43BC-A37F-F438C0E1A77F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187" authorId="0" shapeId="0" xr:uid="{CFBBE86B-3129-475F-A56C-17F8C29D2861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187" authorId="0" shapeId="0" xr:uid="{F826BFAD-CF28-4BC7-B332-2D22BAB7F783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188" authorId="0" shapeId="0" xr:uid="{F48DA320-8198-47A3-AAD6-60D9B802D42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89" authorId="0" shapeId="0" xr:uid="{02C3D7DC-AE45-4F80-AE97-079B2A82173F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90" authorId="0" shapeId="0" xr:uid="{0CB127C0-1D7D-45C7-B115-7B2EF3E4C87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91" authorId="0" shapeId="0" xr:uid="{1CC81A46-2DCE-401C-9A2F-B814CF2EBF8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92" authorId="0" shapeId="0" xr:uid="{60359EC9-72DA-42C2-B4D2-41FC2D888C5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93" authorId="0" shapeId="0" xr:uid="{C21BBC57-F9C2-43D3-B60A-A6A2D10315F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94" authorId="0" shapeId="0" xr:uid="{9A5D6998-652E-4956-B8BD-F120B5C6395C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95" authorId="0" shapeId="0" xr:uid="{D240BA44-1658-44A8-A276-22AFDE37A9EC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196" authorId="0" shapeId="0" xr:uid="{C549C2E3-A156-4941-A6A5-6F8161360009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197" authorId="0" shapeId="0" xr:uid="{6BCFD9F4-43BA-4A0C-A741-D5EE8570B09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198" authorId="0" shapeId="0" xr:uid="{B6A3E657-D284-454F-B4ED-DED97DAAC94F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199" authorId="0" shapeId="0" xr:uid="{9230D495-4619-4053-8510-608E84F53AA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200" authorId="0" shapeId="0" xr:uid="{EA8EC4FF-702B-4983-A035-68003D927401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201" authorId="0" shapeId="0" xr:uid="{5474A622-1402-4DAD-82C9-7B7C00E83BA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02" authorId="0" shapeId="0" xr:uid="{DC554744-CD97-4FB0-9593-F1DAEBC801C9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03" authorId="0" shapeId="0" xr:uid="{2CF37882-C5FD-4F12-B3DC-3FA7DC2D4076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04" authorId="0" shapeId="0" xr:uid="{D035AD7C-0CF5-43CF-B3BF-F2681636B7B7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05" authorId="0" shapeId="0" xr:uid="{63B45A66-FF0A-410C-A56F-4BEF1FAF9FF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06" authorId="0" shapeId="0" xr:uid="{06F26858-A761-4D01-9CDA-62203DE38863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207" authorId="0" shapeId="0" xr:uid="{1AF75C43-9375-4323-AAAE-021F1537B051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07" authorId="0" shapeId="0" xr:uid="{AA5E7370-01B6-493F-B9F9-C7B9874F68CF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08" authorId="0" shapeId="0" xr:uid="{5A1A6DB7-CD15-4954-B795-F5EE4AF4B422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08" authorId="0" shapeId="0" xr:uid="{C401AA0C-02B2-408A-B3CC-591037B68D71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09" authorId="0" shapeId="0" xr:uid="{C658EF28-5BD6-46C0-9693-53E97F8B0C80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09" authorId="0" shapeId="0" xr:uid="{0EF4C161-AAF8-4511-B531-4769054FD7EC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10" authorId="0" shapeId="0" xr:uid="{F0073958-5E6F-40A5-8D9B-DD39F01E936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10" authorId="0" shapeId="0" xr:uid="{52ED2022-8A31-40BE-AA14-46E4B70C11A7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11" authorId="0" shapeId="0" xr:uid="{C053E818-3619-4204-9FB7-62D0B99346B1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211" authorId="0" shapeId="0" xr:uid="{95CE16C0-6147-460B-9BF5-A22BF0193BB2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212" authorId="0" shapeId="0" xr:uid="{B5FC99C5-3F29-452E-B29B-FB3F3126CB7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212" authorId="0" shapeId="0" xr:uid="{90B454B4-C591-46F4-8304-2B88B114049D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213" authorId="0" shapeId="0" xr:uid="{EF75FF6B-D653-458E-88D6-50E1A5DB7709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213" authorId="0" shapeId="0" xr:uid="{6772B847-2AD0-489B-A2EC-64A004315BF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214" authorId="0" shapeId="0" xr:uid="{9708AF9F-8ED8-444B-B97F-886F12C8C8B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214" authorId="0" shapeId="0" xr:uid="{92442C86-DB97-4117-8FBD-07C658A01DD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215" authorId="0" shapeId="0" xr:uid="{DD883E77-0D12-44FB-B628-5054C0676C1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W215" authorId="0" shapeId="0" xr:uid="{481058C5-27B1-4E46-81E7-01E0FB81CE56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216" authorId="0" shapeId="0" xr:uid="{B980BB77-F75A-44F3-B572-26AFC44EB75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16" authorId="0" shapeId="0" xr:uid="{C652E66D-8DF8-47C2-AD7B-F511A086F98C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16" authorId="0" shapeId="0" xr:uid="{7A9EBA2E-CE2F-41D9-86BF-6729F4A1C61D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216" authorId="0" shapeId="0" xr:uid="{5B7D5733-E0E8-4198-AF68-0BD067BE8A79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217" authorId="0" shapeId="0" xr:uid="{FD684367-16F8-4C33-B463-C3554A197BE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17" authorId="0" shapeId="0" xr:uid="{D04DD607-3AA5-434B-9BB7-ECA970338AE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17" authorId="0" shapeId="0" xr:uid="{BD75661B-9622-43DE-AB6C-5A955FD4D15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217" authorId="0" shapeId="0" xr:uid="{6E0FB768-ADB2-4862-99C6-E2B0077AE2E0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218" authorId="0" shapeId="0" xr:uid="{2AC1D1B6-8993-4E29-A860-9412879A54C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18" authorId="0" shapeId="0" xr:uid="{AF848EC1-564C-4A2D-A73F-B54EBD6C86CC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18" authorId="0" shapeId="0" xr:uid="{990B2D56-DDD9-4075-91CA-79DCBA111F7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218" authorId="0" shapeId="0" xr:uid="{21EC9533-2427-4E99-AF1D-418C20AB345C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S219" authorId="0" shapeId="0" xr:uid="{E8E3B54E-2905-4F28-9D10-043712E545F1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19" authorId="0" shapeId="0" xr:uid="{84F5B6EF-8459-477E-AE41-C13DD2AAA902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19" authorId="0" shapeId="0" xr:uid="{97AEAFFD-00B9-4D0A-B463-67A7BCFAFEC9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X219" authorId="0" shapeId="0" xr:uid="{14FE2601-B4CA-435C-AA2A-445E76940578}">
      <text>
        <r>
          <rPr>
            <sz val="11"/>
            <color theme="1"/>
            <rFont val="Aptos Narrow"/>
            <family val="2"/>
            <scheme val="minor"/>
          </rPr>
          <t>======
ID#AAAArRbxg-w
tc={15C27CEB-B964-43EC-85AE-C047997072D9}    (2023-03-20 05:51:22)
[Threaded comment]
Your version of Excel allows you to read this threaded comment; however, any edits to it will get removed if the file is opened in a newer version of Excel. Learn more: https://go.microsoft.com/fwlink/?linkid=870924
Comment:
    411.0901834785</t>
        </r>
      </text>
    </comment>
    <comment ref="W220" authorId="0" shapeId="0" xr:uid="{76DA823C-12F4-49BB-AC9D-25734BE01619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21" authorId="0" shapeId="0" xr:uid="{ABB2069A-E493-4C99-B2A3-A89EF658A110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22" authorId="0" shapeId="0" xr:uid="{4C1BEAB5-37C7-4395-82E3-ABD5E93E2FAF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23" authorId="0" shapeId="0" xr:uid="{5FEED5E3-B540-427E-A5D5-2CA1D2FD327C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24" authorId="0" shapeId="0" xr:uid="{F482A8CB-84D7-4D5F-8FC5-C584A2AF9276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25" authorId="0" shapeId="0" xr:uid="{2A45B05E-E245-436B-8655-787B4AEEB69A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26" authorId="0" shapeId="0" xr:uid="{EE032513-FBFB-4924-9275-D84147EA35DF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27" authorId="0" shapeId="0" xr:uid="{B19C8C07-5817-47A9-9345-E2782455F37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28" authorId="0" shapeId="0" xr:uid="{26C2A45A-2C92-41FC-9AA1-B09EE62B5512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229" authorId="0" shapeId="0" xr:uid="{7B94214E-3818-4C7F-BBAF-B3C890F88E4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29" authorId="0" shapeId="0" xr:uid="{D86B2868-3E44-4219-BE13-E21A8A76110B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230" authorId="0" shapeId="0" xr:uid="{ED373DA6-5481-42DE-8683-7174B76090E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30" authorId="0" shapeId="0" xr:uid="{25C248FB-6437-4A2D-8F40-3E274955A6C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231" authorId="0" shapeId="0" xr:uid="{DCAE0DB6-2ACC-4DE0-B371-59EC95ACC3D1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31" authorId="0" shapeId="0" xr:uid="{AA17E3C9-705D-4369-8EC6-D80B13346ED6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232" authorId="0" shapeId="0" xr:uid="{A41B2B73-C1B7-4BB6-AB29-99144F7593B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32" authorId="0" shapeId="0" xr:uid="{EF094BFA-E037-4FD5-ACF3-4119D0C1F72C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233" authorId="0" shapeId="0" xr:uid="{F4440176-4786-43FD-B41E-D1718778CE4B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33" authorId="0" shapeId="0" xr:uid="{88E243EB-E9A7-4D90-BC0B-B922EE3C5A7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S234" authorId="0" shapeId="0" xr:uid="{47FF6E09-F53F-4A71-900C-CD4FFBF2D741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34" authorId="0" shapeId="0" xr:uid="{D4E65A4D-D235-482E-A65F-941DD459518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35" authorId="0" shapeId="0" xr:uid="{696BFA1E-970A-4375-8F6D-798E01138E43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35" authorId="0" shapeId="0" xr:uid="{8054930B-C524-449A-A1ED-01ADAFA56C4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36" authorId="0" shapeId="0" xr:uid="{15DD849E-41FA-49E3-BA17-93DE50DC532F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36" authorId="0" shapeId="0" xr:uid="{74843058-C01D-4858-8279-01BDBA8ABF29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37" authorId="0" shapeId="0" xr:uid="{AF6AA77D-A7A0-4326-B0A5-1D0C7AF15D63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37" authorId="0" shapeId="0" xr:uid="{575EBA41-4D3E-4AB0-BAE8-59DA27FE7F6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38" authorId="0" shapeId="0" xr:uid="{8917058B-5C2F-4E7C-B06C-9204FA5CF762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38" authorId="0" shapeId="0" xr:uid="{12372024-6EFC-4E23-81A4-B23B85A06F1B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39" authorId="0" shapeId="0" xr:uid="{BAD16503-D1DC-4D52-B9B5-C806EDDB7068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39" authorId="0" shapeId="0" xr:uid="{F7F45E0D-1956-4312-ACEE-C6F59DDF3565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40" authorId="0" shapeId="0" xr:uid="{5DEA959C-2F4E-4747-8329-6F48507BC1EF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40" authorId="0" shapeId="0" xr:uid="{5BE8E38D-6E10-4208-B200-AE131E08E3FE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41" authorId="0" shapeId="0" xr:uid="{67CF53F0-DA82-4684-B499-86D5C8AF88B0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41" authorId="0" shapeId="0" xr:uid="{E7EAE82D-3268-4E10-9FF0-2AEE3820655A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42" authorId="0" shapeId="0" xr:uid="{F30A0B8C-D53F-45A0-A2A5-7C5FF4E6DAE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42" authorId="0" shapeId="0" xr:uid="{E0CD5CA7-F438-490F-94FD-CF1E753CA624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43" authorId="0" shapeId="0" xr:uid="{13A24E18-DA57-42C3-8356-008897E0E34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244" authorId="0" shapeId="0" xr:uid="{59A189C0-C544-4988-8B93-B8C3445D299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245" authorId="0" shapeId="0" xr:uid="{9F597BBF-7FB4-4EDD-8ED1-6D47CAA47647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246" authorId="0" shapeId="0" xr:uid="{82DD3625-8AC6-44E5-B976-2E28BEC26B7E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247" authorId="0" shapeId="0" xr:uid="{43CE39D3-A9A2-414D-8CEC-510D492E96A5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S248" authorId="0" shapeId="0" xr:uid="{47308D74-B771-4E53-A40C-30B00AFCE97E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48" authorId="0" shapeId="0" xr:uid="{452A5270-6F24-4BD2-A75A-FB37F924AE2F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49" authorId="0" shapeId="0" xr:uid="{82CC3C37-7D91-4E09-99A5-7EB476376ACC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49" authorId="0" shapeId="0" xr:uid="{B9064C9B-4354-4A57-93C0-88EFC0894605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50" authorId="0" shapeId="0" xr:uid="{D7D05E8C-1E69-43FB-A57C-040A8C31C30E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50" authorId="0" shapeId="0" xr:uid="{9862BCFE-43F6-4F84-B4F0-E03ED97520BC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51" authorId="0" shapeId="0" xr:uid="{ED947D5E-29E6-4DEF-9775-ABF97078285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51" authorId="0" shapeId="0" xr:uid="{39234AC6-486F-4FFC-AF72-949DC51AFC6C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W252" authorId="0" shapeId="0" xr:uid="{4B3E00DB-C3EC-4023-A3D7-FE70765B0D5E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53" authorId="0" shapeId="0" xr:uid="{969A97DC-65C7-4C2D-ABE5-61844672BCD9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54" authorId="0" shapeId="0" xr:uid="{BFA34E08-8A1C-44D8-87D8-2405474C99B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55" authorId="0" shapeId="0" xr:uid="{2417EF98-1A94-4BF7-A5DD-A31A45B43EE5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56" authorId="0" shapeId="0" xr:uid="{B4B581A2-C9ED-4774-96F2-EF7AFAF8C201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57" authorId="0" shapeId="0" xr:uid="{549E3018-890A-408A-9099-DF2169A78238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58" authorId="0" shapeId="0" xr:uid="{9AC4DD0D-C5E6-4638-B952-9F4200A59FC4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59" authorId="0" shapeId="0" xr:uid="{6906F2D1-20DC-42FD-9495-9E57C7077F9A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W260" authorId="0" shapeId="0" xr:uid="{FEEB046D-ECB9-45E9-930F-CCB085DF9449}">
      <text>
        <r>
          <rPr>
            <sz val="11"/>
            <color theme="1"/>
            <rFont val="Aptos Narrow"/>
            <family val="2"/>
            <scheme val="minor"/>
          </rPr>
          <t>======
ID#AAAArRbxg6U
tc={231FC75C-3AF7-4680-9672-D34E8F674C4D}    (2023-03-20 05:51:22)
[Threaded comment]
Your version of Excel allows you to read this threaded comment; however, any edits to it will get removed if the file is opened in a newer version of Excel. Learn more: https://go.microsoft.com/fwlink/?linkid=870924
Comment:
    66.4454524807</t>
        </r>
      </text>
    </comment>
    <comment ref="T261" authorId="0" shapeId="0" xr:uid="{C8E0761A-4AED-4951-A764-0E434DDFF08D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262" authorId="0" shapeId="0" xr:uid="{7948F4CD-22B9-4E8E-B08A-84B6E2C47484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263" authorId="0" shapeId="0" xr:uid="{0E9617A4-CA65-401E-A2EE-E9F8FA42DCC8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264" authorId="0" shapeId="0" xr:uid="{683FBFD1-AA62-41A2-9055-CC5306D6391B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T265" authorId="0" shapeId="0" xr:uid="{E832ACD4-6006-40A9-9E01-9AA23B23350B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66" authorId="0" shapeId="0" xr:uid="{32D36771-42C8-4012-94CE-4CA029967854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66" authorId="0" shapeId="0" xr:uid="{06A5B4CF-B235-4942-A9F0-A83F95E10450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67" authorId="0" shapeId="0" xr:uid="{9704CFE8-8BCA-48C8-B447-9F75AE969C30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67" authorId="0" shapeId="0" xr:uid="{374CF0E0-B97C-48E4-8AA8-71CBFE6F6BAC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68" authorId="0" shapeId="0" xr:uid="{9F79C060-563A-4E8C-8F9A-4B7D19E4498F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68" authorId="0" shapeId="0" xr:uid="{C82F2179-EDEF-4C8E-B85A-D1B714C0C587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69" authorId="0" shapeId="0" xr:uid="{775BD31F-B8D2-4D62-9EA9-BFBB9191B00A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69" authorId="0" shapeId="0" xr:uid="{C45D8B2C-1300-41DD-BA7D-D650C9E0A373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  <comment ref="S270" authorId="0" shapeId="0" xr:uid="{2D5867E5-DB5C-4D31-A15D-B88DA1EC0066}">
      <text>
        <r>
          <rPr>
            <sz val="11"/>
            <color theme="1"/>
            <rFont val="Aptos Narrow"/>
            <family val="2"/>
            <scheme val="minor"/>
          </rPr>
          <t>======
ID#AAAArRbxhCw
tc={5A838D9C-92DE-41E2-AC96-8FA48CA6D830}    (2023-03-20 05:51:22)
[Threaded comment]
Your version of Excel allows you to read this threaded comment; however, any edits to it will get removed if the file is opened in a newer version of Excel. Learn more: https://go.microsoft.com/fwlink/?linkid=870924
Comment:
    43.2098765432</t>
        </r>
      </text>
    </comment>
    <comment ref="T270" authorId="0" shapeId="0" xr:uid="{B1AECCBF-0B15-4FF1-B637-31DE7DF8C7E7}">
      <text>
        <r>
          <rPr>
            <sz val="11"/>
            <color theme="1"/>
            <rFont val="Aptos Narrow"/>
            <family val="2"/>
            <scheme val="minor"/>
          </rPr>
          <t>======
ID#AAAArRbxhAM
tc={9F45B38B-D6E5-4C14-A935-A2C369F86B59}    (2023-03-20 05:51:22)
[Threaded comment]
Your version of Excel allows you to read this threaded comment; however, any edits to it will get removed if the file is opened in a newer version of Excel. Learn more: https://go.microsoft.com/fwlink/?linkid=870924
Comment:
    76.0869565217</t>
        </r>
      </text>
    </comment>
  </commentList>
</comments>
</file>

<file path=xl/sharedStrings.xml><?xml version="1.0" encoding="utf-8"?>
<sst xmlns="http://schemas.openxmlformats.org/spreadsheetml/2006/main" count="5830" uniqueCount="826">
  <si>
    <t>qtGrid_StrataVAR__VAR_Discount_Pct__c</t>
  </si>
  <si>
    <t>qtGrid_StrataVAR__VAR_Unit_Cost__c</t>
  </si>
  <si>
    <t>qtGrid_StrataVAR__VAR_Total_Cost__c</t>
  </si>
  <si>
    <t>qtGrid_StrataVAR__VAR_Margin_Pct__c</t>
  </si>
  <si>
    <t>qtGrid_StrataVAR__VAR_Markup_Pct__c</t>
  </si>
  <si>
    <t>qtGrid_StrataVAR__VAR_Margin__c</t>
  </si>
  <si>
    <t>qtGrid_StrataVAR__VAR_Total_Profit__c</t>
  </si>
  <si>
    <t>qtGrid_StrataVAR__Cust_Discount_Pct__c</t>
  </si>
  <si>
    <t>qtGrid_StrataVAR__Cust_Unit_Price__c</t>
  </si>
  <si>
    <t>qtGrid_StrataVAR__Cust_Extended_Price__c</t>
  </si>
  <si>
    <t>qtGrid_StrataVAR__Total_List_Price__c</t>
  </si>
  <si>
    <t>qtGrid_StrataVAR__Quantity__c</t>
  </si>
  <si>
    <t>qtGrid_StrataVAR__List_Price__c</t>
  </si>
  <si>
    <t>VK142802210IH</t>
  </si>
  <si>
    <t>Row Number</t>
  </si>
  <si>
    <t>Changed Field</t>
  </si>
  <si>
    <t>Changed Values</t>
  </si>
  <si>
    <t>BoM Source</t>
  </si>
  <si>
    <t>Opportunity BoMs</t>
  </si>
  <si>
    <t>Item Type</t>
  </si>
  <si>
    <t>T9</t>
  </si>
  <si>
    <t>Mode</t>
  </si>
  <si>
    <t>Zephyr Test Number</t>
  </si>
  <si>
    <t>Test Name</t>
  </si>
  <si>
    <t>T10</t>
  </si>
  <si>
    <t>T11</t>
  </si>
  <si>
    <t>T15</t>
  </si>
  <si>
    <t>Filter Field</t>
  </si>
  <si>
    <t>Filter Value</t>
  </si>
  <si>
    <t>Filter By</t>
  </si>
  <si>
    <t>{C:M, V:M, M:C}</t>
  </si>
  <si>
    <t>Item_Type__c</t>
  </si>
  <si>
    <t>CON</t>
  </si>
  <si>
    <t>Part_Number__c</t>
  </si>
  <si>
    <t>Bulk Edit Field</t>
  </si>
  <si>
    <t>Set to</t>
  </si>
  <si>
    <t>Value to set with bulk</t>
  </si>
  <si>
    <t>Qty</t>
  </si>
  <si>
    <t>Set to X</t>
  </si>
  <si>
    <t>VAR_Discount_Pct__c</t>
  </si>
  <si>
    <t>Quantity__c</t>
  </si>
  <si>
    <t>BoMs to Copy</t>
  </si>
  <si>
    <t>N</t>
  </si>
  <si>
    <t>begins with'</t>
  </si>
  <si>
    <t>[1,2,3]</t>
  </si>
  <si>
    <t>VAR Dsc (%)</t>
  </si>
  <si>
    <t>List_Price__c</t>
  </si>
  <si>
    <t>[1,3]</t>
  </si>
  <si>
    <t>Total_List_Price__c</t>
  </si>
  <si>
    <t>VAR_Unit_Cost__c</t>
  </si>
  <si>
    <t>VAR_Total_Cost__c</t>
  </si>
  <si>
    <t>VAR_Margin_Pct__c</t>
  </si>
  <si>
    <t>VAR_Markup_Pct__c</t>
  </si>
  <si>
    <t>VAR_Margin__c</t>
  </si>
  <si>
    <t>VAR_Total_Profit__c</t>
  </si>
  <si>
    <t>Cust_Discount_Pct__c</t>
  </si>
  <si>
    <t>Cust_Unit_Price__c</t>
  </si>
  <si>
    <t>Cust_Extended_Price__c</t>
  </si>
  <si>
    <t>T30</t>
  </si>
  <si>
    <t>T31</t>
  </si>
  <si>
    <t>SAAS</t>
  </si>
  <si>
    <t>Service</t>
  </si>
  <si>
    <t>Quote Id</t>
  </si>
  <si>
    <t>a8Rbn000000NeJJEA0</t>
  </si>
  <si>
    <t>! not equal'</t>
  </si>
  <si>
    <t>== equal'</t>
  </si>
  <si>
    <t>Box Sort Value</t>
  </si>
  <si>
    <t>T32</t>
  </si>
  <si>
    <t>Field to validate Bulk Edit on Items</t>
  </si>
  <si>
    <t>GSB-00001</t>
  </si>
  <si>
    <t>Items to change</t>
  </si>
  <si>
    <t>ShipTo Account</t>
  </si>
  <si>
    <t>Test Site</t>
  </si>
  <si>
    <t>[1]</t>
  </si>
  <si>
    <t>C</t>
  </si>
  <si>
    <t>[1,2]</t>
  </si>
  <si>
    <t>["all"]</t>
  </si>
  <si>
    <t>Inline</t>
  </si>
  <si>
    <t>Test Description</t>
  </si>
  <si>
    <t>Bulk</t>
  </si>
  <si>
    <t>a8Rbn000000O1pNEAS</t>
  </si>
  <si>
    <t>Note for Tester</t>
  </si>
  <si>
    <t>Make the Quote ready with copied items from any Bom as required</t>
  </si>
  <si>
    <r>
      <t xml:space="preserve">This test validates that the shipTo Assignment Grid Loads without changing any ShipTo Account for </t>
    </r>
    <r>
      <rPr>
        <b/>
        <sz val="11"/>
        <color theme="1"/>
        <rFont val="Aptos Narrow"/>
        <family val="2"/>
        <scheme val="minor"/>
      </rPr>
      <t>Maintenance Quote</t>
    </r>
  </si>
  <si>
    <r>
      <t xml:space="preserve">This test validates that the shipTo Assignment Grid Loads without changing any ShipTo Account for </t>
    </r>
    <r>
      <rPr>
        <b/>
        <sz val="11"/>
        <color theme="1"/>
        <rFont val="Aptos Narrow"/>
        <family val="2"/>
        <scheme val="minor"/>
      </rPr>
      <t>Standard Quote</t>
    </r>
  </si>
  <si>
    <r>
      <t xml:space="preserve">Updating ShipTo for a </t>
    </r>
    <r>
      <rPr>
        <b/>
        <sz val="11"/>
        <color theme="8" tint="-0.499984740745262"/>
        <rFont val="Aptos Narrow"/>
        <family val="2"/>
        <scheme val="minor"/>
      </rPr>
      <t>Single Item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5"/>
        <rFont val="Aptos Narrow"/>
        <family val="2"/>
        <scheme val="minor"/>
      </rPr>
      <t>Standard Quote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3" tint="0.249977111117893"/>
        <rFont val="Aptos Narrow"/>
        <family val="2"/>
        <scheme val="minor"/>
      </rPr>
      <t>Bulk</t>
    </r>
    <r>
      <rPr>
        <sz val="11"/>
        <color theme="1"/>
        <rFont val="Aptos Narrow"/>
        <family val="2"/>
        <scheme val="minor"/>
      </rPr>
      <t xml:space="preserve"> Mode </t>
    </r>
  </si>
  <si>
    <r>
      <t xml:space="preserve">Updating ShipTo for a </t>
    </r>
    <r>
      <rPr>
        <b/>
        <sz val="11"/>
        <color theme="8" tint="-0.499984740745262"/>
        <rFont val="Aptos Narrow"/>
        <family val="2"/>
        <scheme val="minor"/>
      </rPr>
      <t>Multiple Item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5"/>
        <rFont val="Aptos Narrow"/>
        <family val="2"/>
        <scheme val="minor"/>
      </rPr>
      <t>Standard Quote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3" tint="0.249977111117893"/>
        <rFont val="Aptos Narrow"/>
        <family val="2"/>
        <scheme val="minor"/>
      </rPr>
      <t>Bulk</t>
    </r>
    <r>
      <rPr>
        <sz val="11"/>
        <color theme="1"/>
        <rFont val="Aptos Narrow"/>
        <family val="2"/>
        <scheme val="minor"/>
      </rPr>
      <t xml:space="preserve"> Mode </t>
    </r>
  </si>
  <si>
    <r>
      <t xml:space="preserve">Updating ShipTo for </t>
    </r>
    <r>
      <rPr>
        <b/>
        <sz val="11"/>
        <color theme="8" tint="-0.499984740745262"/>
        <rFont val="Aptos Narrow"/>
        <family val="2"/>
        <scheme val="minor"/>
      </rPr>
      <t>All Items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5"/>
        <rFont val="Aptos Narrow"/>
        <family val="2"/>
        <scheme val="minor"/>
      </rPr>
      <t>Standard Quote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3" tint="0.249977111117893"/>
        <rFont val="Aptos Narrow"/>
        <family val="2"/>
        <scheme val="minor"/>
      </rPr>
      <t>Bulk</t>
    </r>
    <r>
      <rPr>
        <sz val="11"/>
        <color theme="1"/>
        <rFont val="Aptos Narrow"/>
        <family val="2"/>
        <scheme val="minor"/>
      </rPr>
      <t xml:space="preserve"> Mode </t>
    </r>
  </si>
  <si>
    <r>
      <t xml:space="preserve">Updating ShipTo for a </t>
    </r>
    <r>
      <rPr>
        <b/>
        <sz val="11"/>
        <color theme="8" tint="-0.499984740745262"/>
        <rFont val="Aptos Narrow"/>
        <family val="2"/>
        <scheme val="minor"/>
      </rPr>
      <t>Single Item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5"/>
        <rFont val="Aptos Narrow"/>
        <family val="2"/>
        <scheme val="minor"/>
      </rPr>
      <t>Standard Quote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3" tint="0.249977111117893"/>
        <rFont val="Aptos Narrow"/>
        <family val="2"/>
        <scheme val="minor"/>
      </rPr>
      <t>Inline</t>
    </r>
    <r>
      <rPr>
        <sz val="11"/>
        <color theme="1"/>
        <rFont val="Aptos Narrow"/>
        <family val="2"/>
        <scheme val="minor"/>
      </rPr>
      <t xml:space="preserve"> Mode </t>
    </r>
  </si>
  <si>
    <r>
      <t xml:space="preserve">Updating ShipTo for </t>
    </r>
    <r>
      <rPr>
        <b/>
        <sz val="11"/>
        <color theme="8" tint="-0.499984740745262"/>
        <rFont val="Aptos Narrow"/>
        <family val="2"/>
        <scheme val="minor"/>
      </rPr>
      <t>Multi Item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5"/>
        <rFont val="Aptos Narrow"/>
        <family val="2"/>
        <scheme val="minor"/>
      </rPr>
      <t>Standard Quote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3" tint="0.249977111117893"/>
        <rFont val="Aptos Narrow"/>
        <family val="2"/>
        <scheme val="minor"/>
      </rPr>
      <t>Inline</t>
    </r>
    <r>
      <rPr>
        <sz val="11"/>
        <color theme="1"/>
        <rFont val="Aptos Narrow"/>
        <family val="2"/>
        <scheme val="minor"/>
      </rPr>
      <t xml:space="preserve"> Mode </t>
    </r>
  </si>
  <si>
    <r>
      <t xml:space="preserve">Updating ShipTo for a </t>
    </r>
    <r>
      <rPr>
        <b/>
        <sz val="11"/>
        <color theme="8" tint="-0.499984740745262"/>
        <rFont val="Aptos Narrow"/>
        <family val="2"/>
        <scheme val="minor"/>
      </rPr>
      <t>Single Item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5"/>
        <rFont val="Aptos Narrow"/>
        <family val="2"/>
        <scheme val="minor"/>
      </rPr>
      <t>Maintenance Quote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3" tint="0.249977111117893"/>
        <rFont val="Aptos Narrow"/>
        <family val="2"/>
        <scheme val="minor"/>
      </rPr>
      <t>Bulk</t>
    </r>
    <r>
      <rPr>
        <sz val="11"/>
        <color theme="1"/>
        <rFont val="Aptos Narrow"/>
        <family val="2"/>
        <scheme val="minor"/>
      </rPr>
      <t xml:space="preserve"> Mode </t>
    </r>
  </si>
  <si>
    <r>
      <t xml:space="preserve">Updating ShipTo for a </t>
    </r>
    <r>
      <rPr>
        <b/>
        <sz val="11"/>
        <color theme="8" tint="-0.499984740745262"/>
        <rFont val="Aptos Narrow"/>
        <family val="2"/>
        <scheme val="minor"/>
      </rPr>
      <t>Multiple Item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5"/>
        <rFont val="Aptos Narrow"/>
        <family val="2"/>
        <scheme val="minor"/>
      </rPr>
      <t>Maintenance Quote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3" tint="0.249977111117893"/>
        <rFont val="Aptos Narrow"/>
        <family val="2"/>
        <scheme val="minor"/>
      </rPr>
      <t>Bulk</t>
    </r>
    <r>
      <rPr>
        <sz val="11"/>
        <color theme="1"/>
        <rFont val="Aptos Narrow"/>
        <family val="2"/>
        <scheme val="minor"/>
      </rPr>
      <t xml:space="preserve"> Mode </t>
    </r>
  </si>
  <si>
    <r>
      <t xml:space="preserve">Updating ShipTo for </t>
    </r>
    <r>
      <rPr>
        <b/>
        <sz val="11"/>
        <color theme="8" tint="-0.499984740745262"/>
        <rFont val="Aptos Narrow"/>
        <family val="2"/>
        <scheme val="minor"/>
      </rPr>
      <t>All Items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5"/>
        <rFont val="Aptos Narrow"/>
        <family val="2"/>
        <scheme val="minor"/>
      </rPr>
      <t>Maintenance Quote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3" tint="0.249977111117893"/>
        <rFont val="Aptos Narrow"/>
        <family val="2"/>
        <scheme val="minor"/>
      </rPr>
      <t>Bulk</t>
    </r>
    <r>
      <rPr>
        <sz val="11"/>
        <color theme="1"/>
        <rFont val="Aptos Narrow"/>
        <family val="2"/>
        <scheme val="minor"/>
      </rPr>
      <t xml:space="preserve"> Mode </t>
    </r>
  </si>
  <si>
    <r>
      <t xml:space="preserve">Updating ShipTo for a </t>
    </r>
    <r>
      <rPr>
        <b/>
        <sz val="11"/>
        <color theme="8" tint="-0.499984740745262"/>
        <rFont val="Aptos Narrow"/>
        <family val="2"/>
        <scheme val="minor"/>
      </rPr>
      <t>Single Item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5"/>
        <rFont val="Aptos Narrow"/>
        <family val="2"/>
        <scheme val="minor"/>
      </rPr>
      <t>Maintenance Quote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3" tint="0.249977111117893"/>
        <rFont val="Aptos Narrow"/>
        <family val="2"/>
        <scheme val="minor"/>
      </rPr>
      <t>Inline</t>
    </r>
    <r>
      <rPr>
        <sz val="11"/>
        <color theme="1"/>
        <rFont val="Aptos Narrow"/>
        <family val="2"/>
        <scheme val="minor"/>
      </rPr>
      <t xml:space="preserve"> Mode </t>
    </r>
  </si>
  <si>
    <r>
      <t xml:space="preserve">Updating ShipTo for </t>
    </r>
    <r>
      <rPr>
        <b/>
        <sz val="11"/>
        <color theme="8" tint="-0.499984740745262"/>
        <rFont val="Aptos Narrow"/>
        <family val="2"/>
        <scheme val="minor"/>
      </rPr>
      <t>Multi Item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5"/>
        <rFont val="Aptos Narrow"/>
        <family val="2"/>
        <scheme val="minor"/>
      </rPr>
      <t>Maintenance Quote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3" tint="0.249977111117893"/>
        <rFont val="Aptos Narrow"/>
        <family val="2"/>
        <scheme val="minor"/>
      </rPr>
      <t>Inline</t>
    </r>
    <r>
      <rPr>
        <sz val="11"/>
        <color theme="1"/>
        <rFont val="Aptos Narrow"/>
        <family val="2"/>
        <scheme val="minor"/>
      </rPr>
      <t xml:space="preserve"> Mode </t>
    </r>
  </si>
  <si>
    <t>Test Soupra</t>
  </si>
  <si>
    <t>Site Address</t>
  </si>
  <si>
    <t>Site City</t>
  </si>
  <si>
    <t>Site Country</t>
  </si>
  <si>
    <t>BT road</t>
  </si>
  <si>
    <t>Sacramento County</t>
  </si>
  <si>
    <t>US</t>
  </si>
  <si>
    <t>123 ABC</t>
  </si>
  <si>
    <t>KOLKATA</t>
  </si>
  <si>
    <t>INDIA</t>
  </si>
  <si>
    <t>[1,5]</t>
  </si>
  <si>
    <t>[2,6]</t>
  </si>
  <si>
    <t>qtGrid_StrataVAR__Initial_Term__c</t>
  </si>
  <si>
    <t>Record Type</t>
  </si>
  <si>
    <t>PQW-T1391</t>
  </si>
  <si>
    <t>GK107158161CD</t>
  </si>
  <si>
    <t>Estimate</t>
  </si>
  <si>
    <t>Change Unit List Price for priced item</t>
  </si>
  <si>
    <t>{C:M, V:C, M:C}</t>
  </si>
  <si>
    <t>C9200-48P-A</t>
  </si>
  <si>
    <t>Hardware</t>
  </si>
  <si>
    <t>PQW-T1392</t>
  </si>
  <si>
    <t>Change Unit List Price for priced item to 0</t>
  </si>
  <si>
    <t>PQW-T1393</t>
  </si>
  <si>
    <t>Change Unit List Price for 0 to X for 0 priced items</t>
  </si>
  <si>
    <t>PWR-66W-AC-V2</t>
  </si>
  <si>
    <t>PQW-T1399</t>
  </si>
  <si>
    <t>Integer Qty (SD)- All Item types</t>
  </si>
  <si>
    <t>Disti</t>
  </si>
  <si>
    <t>Change Quantity to 0 (Non-Cisco and Prof Service)</t>
  </si>
  <si>
    <t>PROFSVC-TEMP-ITEM90</t>
  </si>
  <si>
    <t>PQW-T1400</t>
  </si>
  <si>
    <t>Change Quantity to X to Y (Non-Cisco &amp; Prof Service)</t>
  </si>
  <si>
    <t>PQW-T1402</t>
  </si>
  <si>
    <t>PQW-T1407</t>
  </si>
  <si>
    <t>81699391-4781004033</t>
  </si>
  <si>
    <t>Deal Registration</t>
  </si>
  <si>
    <t>Change Initial Term/Service Duration for SAAS Item</t>
  </si>
  <si>
    <t>LIC-MS-300-L-E</t>
  </si>
  <si>
    <t>SaaS</t>
  </si>
  <si>
    <t>Initial_Term__c</t>
  </si>
  <si>
    <t>PQW-T1408</t>
  </si>
  <si>
    <t>Change Initial Term/Service Duration for Service items</t>
  </si>
  <si>
    <t>CON-ROB-C9348U</t>
  </si>
  <si>
    <t>PQW-T1409</t>
  </si>
  <si>
    <t>Change Initial Term to 0 for Service item</t>
  </si>
  <si>
    <t>PQW-T1410</t>
  </si>
  <si>
    <t>LC161542171RX</t>
  </si>
  <si>
    <t>Change Initial Term/Service Duration for Termed Software Item</t>
  </si>
  <si>
    <t>C1E1TN9300XF-3Y</t>
  </si>
  <si>
    <t>Software</t>
  </si>
  <si>
    <t>PQW-T1411</t>
  </si>
  <si>
    <t>Change Initial Term to 0 for Termed Software item</t>
  </si>
  <si>
    <t>PQW-T1412</t>
  </si>
  <si>
    <t>PQW-T1421</t>
  </si>
  <si>
    <t>Change VAR Cost to 0 from x for Non zero priced item</t>
  </si>
  <si>
    <t>PQW-T1422</t>
  </si>
  <si>
    <t>Change VAR Cost to X from 0 for zero priced items</t>
  </si>
  <si>
    <t>SW9105AX-CAPWAP-K9</t>
  </si>
  <si>
    <t>PQW-T1423</t>
  </si>
  <si>
    <t>Change VAR cost to -ve</t>
  </si>
  <si>
    <t>PQW-T1424</t>
  </si>
  <si>
    <t>Change VAR cost to something where VAR Cost is more than Customer Price and List Price</t>
  </si>
  <si>
    <t>PQW-T1425</t>
  </si>
  <si>
    <t>Change VAR Discount % to -ve</t>
  </si>
  <si>
    <t>PQW-T1426</t>
  </si>
  <si>
    <t>Change VAR Discount % to 0 for non zero priced item</t>
  </si>
  <si>
    <t>PQW-T1427</t>
  </si>
  <si>
    <t>Change VAR Discount % to X for 0 priced items</t>
  </si>
  <si>
    <t>MA-PWR-CORD-US-FR</t>
  </si>
  <si>
    <t>PQW-T1428</t>
  </si>
  <si>
    <t>Change VAR Discount% to 100% where List price and Customer price is not 0</t>
  </si>
  <si>
    <t>PQW-T1429</t>
  </si>
  <si>
    <t>Change VAR Discount % to value something that is more than 0 and less than 100</t>
  </si>
  <si>
    <t>PQW-T1430</t>
  </si>
  <si>
    <t>Change VAR discount% to 200%</t>
  </si>
  <si>
    <t>PQW-T1431</t>
  </si>
  <si>
    <t>Change Margin% to 0</t>
  </si>
  <si>
    <t>MR33-HW</t>
  </si>
  <si>
    <t>PQW-T1432</t>
  </si>
  <si>
    <t>Change Margin% to -ve</t>
  </si>
  <si>
    <t>PQW-T1433</t>
  </si>
  <si>
    <t>Change Margin% to +ve</t>
  </si>
  <si>
    <t>PQW-T1434</t>
  </si>
  <si>
    <t>Change Margin% to 100</t>
  </si>
  <si>
    <t>PQW-T1436</t>
  </si>
  <si>
    <t>Change customer Price to 0 from priced items</t>
  </si>
  <si>
    <t>ISR4331-DNA</t>
  </si>
  <si>
    <t>PQW-T1437</t>
  </si>
  <si>
    <t>Change customer Price to X for non priced items</t>
  </si>
  <si>
    <t>PWR-4330-AC</t>
  </si>
  <si>
    <t>PQW-T1438</t>
  </si>
  <si>
    <t>Change customer Price to -ve</t>
  </si>
  <si>
    <t>PQW-T1439</t>
  </si>
  <si>
    <t>Change customer Price to more than the List Price</t>
  </si>
  <si>
    <t>PQW-T1440</t>
  </si>
  <si>
    <t>Change customer Price to less than the VAR Cost</t>
  </si>
  <si>
    <t>C1DNA-C-500M-A-3Y</t>
  </si>
  <si>
    <t>PQW-T1441</t>
  </si>
  <si>
    <t>Change customer Price to more than 2 time of the VAR cost and List Price</t>
  </si>
  <si>
    <t>C9200-NM-4X</t>
  </si>
  <si>
    <t>PQW-T1442</t>
  </si>
  <si>
    <t>Change VAR Unit Margin to 0</t>
  </si>
  <si>
    <t>PQW-T1443</t>
  </si>
  <si>
    <t>Set VAR unit margin to same as VAR Unit Cost</t>
  </si>
  <si>
    <t>PQW-T1444</t>
  </si>
  <si>
    <t>Change VAR Unit Margin to same as Customer Unit Price</t>
  </si>
  <si>
    <t>PQW-T1445</t>
  </si>
  <si>
    <t>Change VAR Unit Margin to -ve</t>
  </si>
  <si>
    <t>PQW-T1447</t>
  </si>
  <si>
    <t>Change VAR Customer Discount to 0</t>
  </si>
  <si>
    <t>PQW-T1448</t>
  </si>
  <si>
    <t>Set VAR Cust Discount% to 100%</t>
  </si>
  <si>
    <t>PQW-T1449</t>
  </si>
  <si>
    <t>Set customer Discount% to -ve</t>
  </si>
  <si>
    <t>PQW-T1450</t>
  </si>
  <si>
    <t>Change VAR Customer Discount to 200%</t>
  </si>
  <si>
    <t>PQW-T1452</t>
  </si>
  <si>
    <t>Change VAR Markup to 0</t>
  </si>
  <si>
    <t>PQW-T1453</t>
  </si>
  <si>
    <t>Change VAR Markup% to 100</t>
  </si>
  <si>
    <t>PQW-T1454</t>
  </si>
  <si>
    <t>Change VAR Markup% to -ve</t>
  </si>
  <si>
    <t>PQW-T1455</t>
  </si>
  <si>
    <t>Change VAR Markup to 200%</t>
  </si>
  <si>
    <t>PQW-T1456</t>
  </si>
  <si>
    <t>Change VAR Markup to x for 0 priced items</t>
  </si>
  <si>
    <t>PQW-T1948</t>
  </si>
  <si>
    <t>Change VAR Cost from X to Y (cM, vC, mV)</t>
  </si>
  <si>
    <t>{C:M, V:C, M:V}</t>
  </si>
  <si>
    <t>Change VAR Cost to 0 (cM, vC, mV)</t>
  </si>
  <si>
    <t>Change VAR Cost to -ve value (cM, vC, mV)</t>
  </si>
  <si>
    <t>Change VAR Cost to 2x of the List Price (cM, vC, mV)</t>
  </si>
  <si>
    <t>PQW-T1949</t>
  </si>
  <si>
    <t>Change VAR Markup from X to Y(cM, vC, mV)</t>
  </si>
  <si>
    <t>Change VAR Markup to 0 (cM, vC, mV)</t>
  </si>
  <si>
    <t>Change VAR Markup to -ve value (cM, vC, mV)</t>
  </si>
  <si>
    <t>Change VAR Markup to 200% (cM, vC, mV)</t>
  </si>
  <si>
    <t>Change VAR Markup to 100% (cM, vC, mV)</t>
  </si>
  <si>
    <t>PQW-T1950</t>
  </si>
  <si>
    <t>QUO-21488963-N3Y3G1_1</t>
  </si>
  <si>
    <t>Distributor API BoM</t>
  </si>
  <si>
    <t>Change VAR Unit Margin from X to Y(cM, vC, mV)</t>
  </si>
  <si>
    <t>PAN-PA-5410-BND-CORESEC-3YR</t>
  </si>
  <si>
    <t>SaaS (False)</t>
  </si>
  <si>
    <t>Change VAR Unit Margin to 0(cM, vC, mV)</t>
  </si>
  <si>
    <t>Change VAR Unit Margin to -ve value(cM, vC, mV)</t>
  </si>
  <si>
    <t>Change VAR Unit Margin to 2x List price(cM, vC, mV)</t>
  </si>
  <si>
    <t>PQW-T1951</t>
  </si>
  <si>
    <t>Change Customer Discount from X to Y(cM, vC, mV)</t>
  </si>
  <si>
    <t>Change Customer Discount to 0(cM, vC, mV)</t>
  </si>
  <si>
    <t>Change Customer Discount to -ve value(cM, vC, mV)</t>
  </si>
  <si>
    <t>Change Customer Discount to 200%(cM, vC, mV)</t>
  </si>
  <si>
    <t>Change Customer Discount 100%(cM, vC, mV)</t>
  </si>
  <si>
    <t>PQW-T1952</t>
  </si>
  <si>
    <t>Change Customer Price from X to Y(cM, vC, mV)</t>
  </si>
  <si>
    <t>Change Customer Price to 0(cM, vC, mV)</t>
  </si>
  <si>
    <t>Change Customer Price to -ve value(cM, vC, mV)</t>
  </si>
  <si>
    <t>Change Customer Price to 2x of the List Price(cM, vC, mV)</t>
  </si>
  <si>
    <t>PQW-T1953</t>
  </si>
  <si>
    <t>Change Margin% from X to Y(cM, vC, mV)</t>
  </si>
  <si>
    <t>Change Margin% to 0(cM, vC, mV)</t>
  </si>
  <si>
    <t>Change Margin% to -ve value(cM, vC, mV)</t>
  </si>
  <si>
    <t>Change Margin% to 200%(cM, vC, mV)</t>
  </si>
  <si>
    <t>Change Margin% to 100%(cM, vC, mV)</t>
  </si>
  <si>
    <t>PQW-T1954</t>
  </si>
  <si>
    <t>Change VAR discount% from X to Y(cM, vC, mV)</t>
  </si>
  <si>
    <t>Change VAR discount% to 0(cM, vC, mV)</t>
  </si>
  <si>
    <t>Change VAR discount% to -ve value(cM, vC, mV)</t>
  </si>
  <si>
    <t>Change VAR discount% to 200%(cM, vC, mV)</t>
  </si>
  <si>
    <t>Change VAR discount% to 100%(cM, vC, mV)</t>
  </si>
  <si>
    <t>PQW-T1958</t>
  </si>
  <si>
    <t>Change VAR Cost from X to Y (cM, vM, mC)</t>
  </si>
  <si>
    <t>Change VAR Cost to 0 (cM, vM, mC)</t>
  </si>
  <si>
    <t>Change VAR Cost to -ve value (cM, vM, mC)</t>
  </si>
  <si>
    <t>Change VAR Cost to 2x List Price (cM, vM, mC)</t>
  </si>
  <si>
    <t>PQW-T1959</t>
  </si>
  <si>
    <t>Change VAR Markup from X to Y(cM, vM, mC)</t>
  </si>
  <si>
    <t>Change VAR Markup to 0(cM, vM, mC)</t>
  </si>
  <si>
    <t>Change VAR Markup to -ve value(cM, vM, mC)</t>
  </si>
  <si>
    <t>Change VAR Markup to 200%(cM, vM, mC)</t>
  </si>
  <si>
    <t>Change VAR Markup to 100%(cM, vM, mC)</t>
  </si>
  <si>
    <t>PQW-T1960</t>
  </si>
  <si>
    <t>Change VAR Unit Margin from X to Y(cM, vM, mC)</t>
  </si>
  <si>
    <t>Change VAR Unit Margin to 0(cM, vM, mC)</t>
  </si>
  <si>
    <t>Change VAR Unit Margin to -ve value(cM, vM, mC)</t>
  </si>
  <si>
    <t>Change VAR Unit Margin to 2x List Price(cM, vM, mC)</t>
  </si>
  <si>
    <t>PQW-T1961</t>
  </si>
  <si>
    <t>Change Customer Discount from X to Y(cM, vM, mC)</t>
  </si>
  <si>
    <t>Change Customer Discount to 0(cM, vM, mC)</t>
  </si>
  <si>
    <t>Change Customer Discount to -ve value(cM, vM, mC)</t>
  </si>
  <si>
    <t>Change Customer Discount to 200%(cM, vM, mC)</t>
  </si>
  <si>
    <t>Change Customer Discount to 100%(cM, vM, mC)</t>
  </si>
  <si>
    <t>PQW-T1962</t>
  </si>
  <si>
    <t>Change Customer Price from X to Y(cM, vM, mC)</t>
  </si>
  <si>
    <t>Change Customer Price to 0(cM, vM, mC)</t>
  </si>
  <si>
    <t>Change Customer Price to -ve value(cM, vM, mC)</t>
  </si>
  <si>
    <t>Change Customer Price to 2x List Price(cM, vM, mC)</t>
  </si>
  <si>
    <t>PQW-T1963</t>
  </si>
  <si>
    <t>Change Margin% from X to Y(cM, vM, mC)</t>
  </si>
  <si>
    <t>Change Margin% to 0(cM, vM, mC)</t>
  </si>
  <si>
    <t>Change Margin% to -ve value(cM, vM, mC)</t>
  </si>
  <si>
    <t>Change Margin% to 200%(cM, vM, mC)</t>
  </si>
  <si>
    <t>Change Margin% to 100%(cM, vM, mC)</t>
  </si>
  <si>
    <t>PQW-T1964</t>
  </si>
  <si>
    <t>Change VAR discount% from X to Y(cM, vM, mC)</t>
  </si>
  <si>
    <t>Change VAR discount% to 0(cM, vM, mC)</t>
  </si>
  <si>
    <t>Change VAR discount% to -ve value(cM, vM, mC)</t>
  </si>
  <si>
    <t>Change VAR discount% to 200%(cM, vM, mC)</t>
  </si>
  <si>
    <t>Change VAR discount% to 100%(cM, vM, mC)</t>
  </si>
  <si>
    <t>PQW-T1968</t>
  </si>
  <si>
    <t>Change VAR Cost from X to Y (cM, vM, mV)</t>
  </si>
  <si>
    <t>{C:M, V:M, M:V}</t>
  </si>
  <si>
    <t>Change VAR Cost to 0 (cM, vM, mV)</t>
  </si>
  <si>
    <t>Change VAR Cost to -ve value (cM, vM, mV)</t>
  </si>
  <si>
    <t>Change VAR Cost to 2x List Price (cM, vM, mV)</t>
  </si>
  <si>
    <t>PQW-T1969</t>
  </si>
  <si>
    <t>Change VAR Markup from X to Y(cM, vM, mV)</t>
  </si>
  <si>
    <t>Change VAR Markup to 0(cM, vM, mV)</t>
  </si>
  <si>
    <t>Change VAR Markup to -ve value(cM, vM, mV)</t>
  </si>
  <si>
    <t>Change VAR Markup to 200%(cM, vM, mV)</t>
  </si>
  <si>
    <t>Change VAR Markup to 100%(cM, vM, mV)</t>
  </si>
  <si>
    <t>PQW-T1970</t>
  </si>
  <si>
    <t>Change VAR Unit Margin from X to Y(cM, vM, mV)</t>
  </si>
  <si>
    <t>Change VAR Unit Margin to 0(cM, vM, mV)</t>
  </si>
  <si>
    <t>Change VAR Unit Margin to -ve value(cM, vM, mV)</t>
  </si>
  <si>
    <t>Change VAR Unit Margin to 2x List Price(cM, vM, mV)</t>
  </si>
  <si>
    <t>PQW-T1971</t>
  </si>
  <si>
    <t>Change Customer Discount from X to Y(cM, vM, mV)</t>
  </si>
  <si>
    <t>Change Customer Discount to 0(cM, vM, mV)</t>
  </si>
  <si>
    <t>Change Customer Discount to -ve value(cM, vM, mV)</t>
  </si>
  <si>
    <t>Change Customer Discount to 200%(cM, vM, mV)</t>
  </si>
  <si>
    <t>Change Customer Discount to 100%(cM, vM, mV)</t>
  </si>
  <si>
    <t>PQW-T1972</t>
  </si>
  <si>
    <t>Change Customer Price from X to Y(cM, vM, mV)</t>
  </si>
  <si>
    <t>Change Customer Price to 0(cM, vM, mV)</t>
  </si>
  <si>
    <t>Change Customer Price to -ve value(cM, vM, mV)</t>
  </si>
  <si>
    <t>Change Customer Price to 2x List Price(cM, vM, mV)</t>
  </si>
  <si>
    <t>PQW-T1973</t>
  </si>
  <si>
    <t>Change Margin% from X to Y(cM, vM, mV)</t>
  </si>
  <si>
    <t>Change Margin% to 0(cM, vM, mV)</t>
  </si>
  <si>
    <t>Change Margin% to -ve value(cM, vM, mV)</t>
  </si>
  <si>
    <t>Change Margin% to 200%(cM, vM, mV)</t>
  </si>
  <si>
    <t>Change Margin% to 100%(cM, vM, mV)</t>
  </si>
  <si>
    <t>PQW-T1974</t>
  </si>
  <si>
    <t>Change VAR discount% from X to Y(cM, vM, mV)</t>
  </si>
  <si>
    <t>Change VAR discount% to 0(cM, vM, mV)</t>
  </si>
  <si>
    <t>Change VAR discount% to -ve value(cM, vM, mV)</t>
  </si>
  <si>
    <t>Change VAR discount% to 200%(cM, vM, mV)</t>
  </si>
  <si>
    <t>Change VAR discount% to 100%(cM, vM, mV)</t>
  </si>
  <si>
    <t>PQW-T1978</t>
  </si>
  <si>
    <t>Change VAR Cost from X to Y (cV, vC, mC)</t>
  </si>
  <si>
    <t>{C:V, V:C, M:C}</t>
  </si>
  <si>
    <t>Change VAR Cost to 0 (cV, vC, mC)</t>
  </si>
  <si>
    <t>Change VAR Cost to -ve value (cV, vC, mC)</t>
  </si>
  <si>
    <t>Change VAR Cost to 2x List price (cV, vC, mC)</t>
  </si>
  <si>
    <t>PQW-T1979</t>
  </si>
  <si>
    <t>Change VAR Markup from X to Y(cV, vC, mC)</t>
  </si>
  <si>
    <t>Change VAR Markup to 0(cV, vC, mC)</t>
  </si>
  <si>
    <t>Change VAR Markup to -ve value(cV, vC, mC)</t>
  </si>
  <si>
    <t>Change VAR Markup to 200%(cV, vC, mC)</t>
  </si>
  <si>
    <t>Change VAR Markup to 100%(cV, vC, mC)</t>
  </si>
  <si>
    <t>PQW-T1980</t>
  </si>
  <si>
    <t>Change VAR Unit Margin from X to Y(cV, vC, mC)</t>
  </si>
  <si>
    <t>Change VAR Unit Margin to 0(cV, vC, mC)</t>
  </si>
  <si>
    <t>Change VAR Unit Margin to -ve value(cV, vC, mC)</t>
  </si>
  <si>
    <t>Change VAR Unit Margin to 2x List Price(cV, vC, mC)</t>
  </si>
  <si>
    <t>PQW-T1981</t>
  </si>
  <si>
    <t>Change Customer Discount from X to Y(cV, vC, mC)</t>
  </si>
  <si>
    <t>Change Customer Discount to 0(cV, vC, mC)</t>
  </si>
  <si>
    <t>Change Customer Discount to -ve value(cV, vC, mC)</t>
  </si>
  <si>
    <t>Change Customer Discount to 200%(cV, vC, mC)</t>
  </si>
  <si>
    <t>Change Customer Discount to 100%(cV, vC, mC)</t>
  </si>
  <si>
    <t>PQW-T1982</t>
  </si>
  <si>
    <t>Change Customer Price from X to Y(cV, vC, mC)</t>
  </si>
  <si>
    <t>Change Customer Price to 0(cV, vC, mC)</t>
  </si>
  <si>
    <t>Change Customer Price to -ve value(cV, vC, mC)</t>
  </si>
  <si>
    <t>Change Customer Price to 2x List Price(cV, vC, mC)</t>
  </si>
  <si>
    <t>PQW-T1983</t>
  </si>
  <si>
    <t>Change Margin% from X to Y(cV, vC, mC)</t>
  </si>
  <si>
    <t>Change Margin% to 0(cV, vC, mC)</t>
  </si>
  <si>
    <t>Change Margin% to -ve value(cV, vC, mC)</t>
  </si>
  <si>
    <t>Change Margin% to 200%(cV, vC, mC)</t>
  </si>
  <si>
    <t>Change Margin% to 100%(cV, vC, mC)</t>
  </si>
  <si>
    <t>PQW-T1984</t>
  </si>
  <si>
    <t>Change VAR discount% from X to Y(cV, vC, mC)</t>
  </si>
  <si>
    <t>Change VAR discount% to 0(cV, vC, mC)</t>
  </si>
  <si>
    <t>Change VAR discount% to -ve value(cV, vC, mC)</t>
  </si>
  <si>
    <t>Change VAR discount% to 200%(cV, vC, mC)</t>
  </si>
  <si>
    <t>Change VAR discount% to 100%(cV, vC, mC)</t>
  </si>
  <si>
    <t>PQW-T1988</t>
  </si>
  <si>
    <t>Change VAR Cost from X to Y (cV, vC, mV)</t>
  </si>
  <si>
    <t>{C:V, V:C, M:V}</t>
  </si>
  <si>
    <t>Change VAR Cost to 0 (cV, vC, mV)</t>
  </si>
  <si>
    <t>Change VAR Cost to -ve value (cV, vC, mV)</t>
  </si>
  <si>
    <t>Change VAR Cost to 2x List Price (cV, vC, mV)</t>
  </si>
  <si>
    <t>PQW-T1989</t>
  </si>
  <si>
    <t>Change VAR Markup from X to Y(cV, vC, mV)</t>
  </si>
  <si>
    <t>Change VAR Markup to 0(cV, vC, mV)</t>
  </si>
  <si>
    <t>Change VAR Markup to -ve value(cV, vC, mV)</t>
  </si>
  <si>
    <t>Change VAR Markup to 200%(cV, vC, mV)</t>
  </si>
  <si>
    <t>Change VAR Markup to 100%(cV, vC, mV)</t>
  </si>
  <si>
    <t>PQW-T1990</t>
  </si>
  <si>
    <t>Change VAR Unit Margin from X to Y(cV, vC, mV)</t>
  </si>
  <si>
    <t>Change VAR Unit Margin to 0(cV, vC, mV)</t>
  </si>
  <si>
    <t>Change VAR Unit Margin to -ve value(cV, vC, mV)</t>
  </si>
  <si>
    <t>Change VAR Unit Margin to 2x List Price(cV, vC, mV)</t>
  </si>
  <si>
    <t>PQW-T1991</t>
  </si>
  <si>
    <t>Change Customer Discount from X to Y(cV, vC, mV)</t>
  </si>
  <si>
    <t>Change Customer Discount to 0(cV, vC, mV)</t>
  </si>
  <si>
    <t>Change Customer Discount to -ve value(cV, vC, mV)</t>
  </si>
  <si>
    <t>Change Customer Discount to 200%(cV, vC, mV)</t>
  </si>
  <si>
    <t>Change Customer Discount to 100%(cV, vC, mV)</t>
  </si>
  <si>
    <t>PQW-T1992</t>
  </si>
  <si>
    <t>Change Customer Price from X to Y(cV, vC, mV)</t>
  </si>
  <si>
    <t>Change Customer Price to 0(cV, vC, mV)</t>
  </si>
  <si>
    <t>Change Customer Price to -ve value(cV, vC, mV)</t>
  </si>
  <si>
    <t>Change Customer Price to 2x List Price(cV, vC, mV)</t>
  </si>
  <si>
    <t>PQW-T1993</t>
  </si>
  <si>
    <t>Change Margin% from X to Y(cV, vC, mV)</t>
  </si>
  <si>
    <t>Change Margin% to 0(cV, vC, mV)</t>
  </si>
  <si>
    <t>Change Margin% to -ve value(cV, vC, mV)</t>
  </si>
  <si>
    <t>Change Margin% to 200%(cV, vC, mV)</t>
  </si>
  <si>
    <t>Change Margin% to 100%(cV, vC, mV)</t>
  </si>
  <si>
    <t>PQW-T1994</t>
  </si>
  <si>
    <t>Change VAR discount% from X to Y(cV, vC, mV)</t>
  </si>
  <si>
    <t>Change VAR discount% to 0(cV, vC, mV)</t>
  </si>
  <si>
    <t>Change VAR discount% to -ve value(cV, vC, mV)</t>
  </si>
  <si>
    <t>Change VAR discount% to 200%(cV, vC, mV)</t>
  </si>
  <si>
    <t>Change VAR discount% to 100%(cV, vC, mV)</t>
  </si>
  <si>
    <t>PQW-T1998</t>
  </si>
  <si>
    <t>Change VAR Cost from X to Y (cV, vM, mC)</t>
  </si>
  <si>
    <t>{C:V, V:M, M:C}</t>
  </si>
  <si>
    <t>Change VAR Cost to 0 (cV, vM, mC)</t>
  </si>
  <si>
    <t>Change VAR Cost to -ve value (cV, vM, mC)</t>
  </si>
  <si>
    <t>Change VAR Cost to 2x List Price (cV, vM, mC)</t>
  </si>
  <si>
    <t>PQW-T1999</t>
  </si>
  <si>
    <t>Change VAR Markup from X to Y(cV, vM, mC)</t>
  </si>
  <si>
    <t>Change VAR Markup to 0(cV, vM, mC)</t>
  </si>
  <si>
    <t>Change VAR Markup to -ve value(cV, vM, mC)</t>
  </si>
  <si>
    <t>Change VAR Markup to 200%(cV, vM, mC)</t>
  </si>
  <si>
    <t>Change VAR Markup to 100%(cV, vM, mC)</t>
  </si>
  <si>
    <t>PQW-T2000</t>
  </si>
  <si>
    <t>Change VAR Unit Margin from X to Y(cV, vM, mC)</t>
  </si>
  <si>
    <t>Change VAR Unit Margin to 0(cV, vM, mC)</t>
  </si>
  <si>
    <t>Change VAR Unit Margin to -ve value(cV, vM, mC)</t>
  </si>
  <si>
    <t>Change VAR Unit Margin to 2x List Price(cV, vM, mC)</t>
  </si>
  <si>
    <t>PQW-T2001</t>
  </si>
  <si>
    <t>Change Customer Discount from X to Y(cV, vM, mC)</t>
  </si>
  <si>
    <t>Change Customer Discount to 0(cV, vM, mC)</t>
  </si>
  <si>
    <t>Change Customer Discount to -ve value(cV, vM, mC)</t>
  </si>
  <si>
    <t>Change Customer Discount to 200%(cV, vM, mC)</t>
  </si>
  <si>
    <t>Change Customer Discount to 100%(cV, vM, mC)</t>
  </si>
  <si>
    <t>PQW-T2002</t>
  </si>
  <si>
    <t>Change Customer Price from X to Y(cV, vM, mC)</t>
  </si>
  <si>
    <t>Change Customer Price to 0(cV, vM, mC)</t>
  </si>
  <si>
    <t>Change Customer Price to -ve value(cV, vM, mC)</t>
  </si>
  <si>
    <t>Change Customer Price to 2x List Price(cV, vM, mC)</t>
  </si>
  <si>
    <t>PQW-T2003</t>
  </si>
  <si>
    <t>Change Margin% from X to Y(cV, vM, mC)</t>
  </si>
  <si>
    <t>Change Margin% to 0(cV, vM, mC)</t>
  </si>
  <si>
    <t>Change Margin% to -ve value(cV, vM, mC)</t>
  </si>
  <si>
    <t>Change Margin% to 200%(cV, vM, mC)</t>
  </si>
  <si>
    <t>Change Margin% to 100%(cV, vM, mC)</t>
  </si>
  <si>
    <t>PQW-T2004</t>
  </si>
  <si>
    <t>Change VAR discount% from X to Y(cV, vM, mC)</t>
  </si>
  <si>
    <t>Change VAR discount% to 0(cV, vM, mC)</t>
  </si>
  <si>
    <t>Change VAR discount% to -ve value(cV, vM, mC)</t>
  </si>
  <si>
    <t>Change VAR discount% to 200%(cV, vM, mC)</t>
  </si>
  <si>
    <t>Change VAR discount% to 100%(cV, vM, mC)</t>
  </si>
  <si>
    <t>PQW-T2008</t>
  </si>
  <si>
    <t>Change VAR Cost from X to Y (cV, vM, mV)</t>
  </si>
  <si>
    <t>{C:V, V:M, M:V}</t>
  </si>
  <si>
    <t>Change VAR Cost to 0 (cV, vM, mV)</t>
  </si>
  <si>
    <t>Change VAR Cost to -ve value (cV, vM, mV)</t>
  </si>
  <si>
    <t>Change VAR Cost to 2x List Price (cV, vM, mV)</t>
  </si>
  <si>
    <t>PQW-T2009</t>
  </si>
  <si>
    <t>Change VAR Markup from X to Y(cV, vM, mV)</t>
  </si>
  <si>
    <t>Change VAR Markup to 0(cV, vM, mV)</t>
  </si>
  <si>
    <t>Change VAR Markup to -ve value(cV, vM, mV)</t>
  </si>
  <si>
    <t>Change VAR Markup to 200%(cV, vM, mV)</t>
  </si>
  <si>
    <t>Change VAR Markup to 100%(cV, vM, mV)</t>
  </si>
  <si>
    <t>PQW-T2010</t>
  </si>
  <si>
    <t>Change VAR Unit Margin from X to Y(cV, vM, mV)</t>
  </si>
  <si>
    <t>Change VAR Unit Margin to 0(cV, vM, mV)</t>
  </si>
  <si>
    <t>Change VAR Unit Margin to -ve value(cV, vM, mV)</t>
  </si>
  <si>
    <t>Change VAR Unit Margin to 2x List Price(cV, vM, mV)</t>
  </si>
  <si>
    <t>PQW-T2011</t>
  </si>
  <si>
    <t>Change Customer Discount from X to Y(cV, vM, mV)</t>
  </si>
  <si>
    <t>Change Customer Discount to 0(cV, vM, mV)</t>
  </si>
  <si>
    <t>Change Customer Discount to -ve value(cV, vM, mV)</t>
  </si>
  <si>
    <t>Change Customer Discount to 200%(cV, vM, mV)</t>
  </si>
  <si>
    <t>Change Customer Discount to 100%(cV, vM, mV)</t>
  </si>
  <si>
    <t>PQW-T2012</t>
  </si>
  <si>
    <t>Change Customer Price from X to Y(cV, vM, mV)</t>
  </si>
  <si>
    <t>Change Customer Price to 0(cV, vM, mV)</t>
  </si>
  <si>
    <t>Change Customer Price to -ve value(cV, vM, mV)</t>
  </si>
  <si>
    <t>Change Customer Price to 2x List Price(cV, vM, mV)</t>
  </si>
  <si>
    <t>PQW-T2013</t>
  </si>
  <si>
    <t>Change Margin% from X to Y(cV, vM, mV)</t>
  </si>
  <si>
    <t>Change Margin% to 0(cV, vM, mV)</t>
  </si>
  <si>
    <t>Change Margin% to -ve value(cV, vM, mV)</t>
  </si>
  <si>
    <t>Change Margin% to 200%(cV, vM, mV)</t>
  </si>
  <si>
    <t>Change Margin% to 100%(cV, vM, mV)</t>
  </si>
  <si>
    <t>PQW-T2014</t>
  </si>
  <si>
    <t>Change VAR discount% from X to Y(cV, vM, mV)</t>
  </si>
  <si>
    <t>Change VAR discount% to 0(cV, vM, mV)</t>
  </si>
  <si>
    <t>Change VAR discount% to -ve value(cV, vM, mV)</t>
  </si>
  <si>
    <t>Change VAR discount% to 200%(cV, vM, mV)</t>
  </si>
  <si>
    <t>Change VAR discount% to 100%(cV, vM, mV)</t>
  </si>
  <si>
    <t>{
  "Zephyr Test Number": "T40",
   "Quote Id": "a8Rbn000000OC01EAG",
   "BoM Source": "Opportunity BoMs",
   "BoMs to Copy": "VK142802210IH",
  "Box Sort Value": "GSB-00001",
  "Box Qty": "4",
  "No of Boxes to create": "3"
}</t>
  </si>
  <si>
    <t>a0HWD0000036meX2AQ</t>
  </si>
  <si>
    <t>{
  "Zephyr Test Number": "T33",
   "Quote Id": "a0HWD00000382Fp2AI",
   "BoM Source": "Opportunity BoMs",
   "BoMs to Copy": "GK107158161CD",
  "Box Sort Value": "GSB-00002",
  "Box Qty": "1"
}</t>
  </si>
  <si>
    <t>{
  "Zephyr Test Number": "T34",
   "Quote Id": "a0HWD00000382Fp2AI",
   "BoM Source": "Opportunity BoMs",
   "BoMs to Copy": "GK107158161CD",
  "Box Sort Value": "GSB-00003",
  "Box Qty": "2"
}</t>
  </si>
  <si>
    <t>{
  "Zephyr Test Number": "T35",
   "Quote Id": "a0HWD00000382Fp2AI",
   "BoM Source": "Opportunity BoMs",
   "BoMs to Copy": "GK107158161CD",
  "Box Sort Value": "GSB-00003",
  "Box Qty": "2"
}</t>
  </si>
  <si>
    <t>{
  "Zephyr Test Number": "T36",
   "Quote Id": "a0HWD00000382Fp2AI",
   "BoM Source": "Opportunity BoMs",
   "BoMs to Copy": "GK107158161CD",
  "Box Sort Value": "GSB-00003",
  "Box Qty": "6",
  "No of Boxes to create": 1,
  "Qty to set on Split Box": "4"
}</t>
  </si>
  <si>
    <t>{
  "Zephyr Test Number": "T37",
   "Quote Id": "a0HWD00000382Fp2AI",
   "BoM Source": "Opportunity BoMs",
   "BoMs to Copy": "GK107158161CD",
  "Box Sort Value": "GSB-00003",
  "Box Qty": "4",
  "Set Split Box Qty on Window": "3",
  "Qty to set on Split Box": "2"
}</t>
  </si>
  <si>
    <t>{
  "Zephyr Test Number": "T38",
   "Quote Id": "a0HWD00000382Fp2AI",
   "BoM Source": "Opportunity BoMs",
   "BoMs to Copy": "GK107158161CD",
  "Box Sort Value": "GSB-00003",
  "Box Qty": "4",
  "No of Boxes to create": 1,
  "Qty to set on Split Box": "2"
}</t>
  </si>
  <si>
    <t>{
  "Zephyr Test Number": "T39",
   "Quote Id": "a0HWD00000382Fp2AI",
   "BoM Source": "Opportunity BoMs",
   "BoMs to Copy": "GK107158161CD",
  "Box Sort Value": "GSB-00003",
  "Box Qty": "4",
  "No of Boxes to create": 1,
  "Qty to set on Split Box": "2"
}</t>
  </si>
  <si>
    <t>{
  "Zephyr Test Number": "T40",
   "Quote Id": "a0HWD00000382Fp2AI",
   "BoM Source": "Opportunity BoMs",
   "BoMs to Copy": "GK107158161CD",
  "Box Sort Value": "GSB-00003",
  "Box Qty": "4",
  "No of Boxes to create": "3"
}</t>
  </si>
  <si>
    <t>{
  "Zephyr Test Number": "T41",
   "Quote Id": "a0HWD00000382Fp2AI",
   "BoM Source": "Opportunity BoMs",
   "BoMs to Copy": "GK107158161CD",
  "Box Sort Value": "GSB-00003",
  "Box Qty": "4",
  "Set Split Box Qty on Window": "8"
}</t>
  </si>
  <si>
    <t>{
  "Zephyr Test Number": "T42",
   "Quote Id": "a0HWD00000382Fp2AI",
   "BoM Source": "Opportunity BoMs",
   "BoMs to Copy": "GK107158161CD",
  "Box Sort Value": "GSB-00003",
  "Box Qty": "4",
  "No of Boxes to create": "3"
}</t>
  </si>
  <si>
    <t>{
  "Zephyr Test Number": "T43",
   "Quote Id": "a0HWD00000382Fp2AI",
   "BoM Source": "Opportunity BoMs",
   "BoMs to Copy": "GK107158161CD",
  "Box Sort Value": "GSB-00003",
  "Box Qty": "4",
   "Set Split Box Qty on Window": "3"
}</t>
  </si>
  <si>
    <t>Part Number</t>
  </si>
  <si>
    <t>Description</t>
  </si>
  <si>
    <t>Manufacturer</t>
  </si>
  <si>
    <t>Part Number filter by</t>
  </si>
  <si>
    <t>Description filter by</t>
  </si>
  <si>
    <t>Manufacturer filter by</t>
  </si>
  <si>
    <t>Item Type filter by</t>
  </si>
  <si>
    <t>T57</t>
  </si>
  <si>
    <t>a0HWD00000382Fp2AI</t>
  </si>
  <si>
    <t>'== equal'</t>
  </si>
  <si>
    <t>AccelOPs Inc (0000900011)</t>
  </si>
  <si>
    <r>
      <t xml:space="preserve">if you want filter field as item type give filter field as </t>
    </r>
    <r>
      <rPr>
        <b/>
        <sz val="11"/>
        <color theme="1"/>
        <rFont val="Aptos Narrow"/>
        <family val="2"/>
        <scheme val="minor"/>
      </rPr>
      <t>Item_Type_X__c</t>
    </r>
  </si>
  <si>
    <t>SV test-200</t>
  </si>
  <si>
    <t>[8]</t>
  </si>
  <si>
    <t>[5]</t>
  </si>
  <si>
    <t>a8Ram000000Il6vEAC</t>
  </si>
  <si>
    <t>Cisco</t>
  </si>
  <si>
    <t>Sl No.</t>
  </si>
  <si>
    <t>ItemToChange</t>
  </si>
  <si>
    <t>SupplierToUpdate</t>
  </si>
  <si>
    <t>Remarks for tester</t>
  </si>
  <si>
    <t>a8Ram000000JE5hEAG</t>
  </si>
  <si>
    <t>ABC SD Supplier</t>
  </si>
  <si>
    <t>ABC SD1 Supplier</t>
  </si>
  <si>
    <t>Load All Items</t>
  </si>
  <si>
    <t>yes</t>
  </si>
  <si>
    <t>no</t>
  </si>
  <si>
    <t>[1,8]</t>
  </si>
  <si>
    <t>ManufacturerToUpdate</t>
  </si>
  <si>
    <t>Acme Partners10</t>
  </si>
  <si>
    <t>Acme Partners1</t>
  </si>
  <si>
    <t>[2,3]</t>
  </si>
  <si>
    <t>"ManufacturerToUpdate" present means we will change supplier</t>
  </si>
  <si>
    <t>"SupplierToUpdate" present means we will change supplier</t>
  </si>
  <si>
    <t>Changing both</t>
  </si>
  <si>
    <t>Verify Supplier Page Loads all items when load all button is clicked</t>
  </si>
  <si>
    <t>Verify Supplier Page Loads all Box items correctly as default</t>
  </si>
  <si>
    <t>Items To Change</t>
  </si>
  <si>
    <t>Supplier Account</t>
  </si>
  <si>
    <t>Manufacturer Account</t>
  </si>
  <si>
    <t>not required</t>
  </si>
  <si>
    <t>To Verify if changing manufacturer on Box changes Minor Items sucessfully</t>
  </si>
  <si>
    <t>To Verify if changing supplier on Box changes Minor Items sucessfully</t>
  </si>
  <si>
    <t>T3914</t>
  </si>
  <si>
    <t>T3915</t>
  </si>
  <si>
    <t>T3917</t>
  </si>
  <si>
    <t>T3918</t>
  </si>
  <si>
    <t>T3919</t>
  </si>
  <si>
    <t>T56</t>
  </si>
  <si>
    <t>T3943</t>
  </si>
  <si>
    <t>T3945</t>
  </si>
  <si>
    <t>T3685</t>
  </si>
  <si>
    <t>T3946</t>
  </si>
  <si>
    <t>T3680</t>
  </si>
  <si>
    <t>T3675</t>
  </si>
  <si>
    <t>T3677</t>
  </si>
  <si>
    <t>T3676</t>
  </si>
  <si>
    <t>T3674</t>
  </si>
  <si>
    <t>Column filter</t>
  </si>
  <si>
    <t>Filter Operation</t>
  </si>
  <si>
    <t>Filter value for column</t>
  </si>
  <si>
    <t>Item_Type</t>
  </si>
  <si>
    <t xml:space="preserve">Is equal </t>
  </si>
  <si>
    <t>SERVICE</t>
  </si>
  <si>
    <t>T1391</t>
  </si>
  <si>
    <t>T2013</t>
  </si>
  <si>
    <t>T1961</t>
  </si>
  <si>
    <t>T1407</t>
  </si>
  <si>
    <t>T1452</t>
  </si>
  <si>
    <t>T1949</t>
  </si>
  <si>
    <t>T1978</t>
  </si>
  <si>
    <t>T1974</t>
  </si>
  <si>
    <t>Quote item Number</t>
  </si>
  <si>
    <t>F</t>
  </si>
  <si>
    <t>HARDWARE</t>
  </si>
  <si>
    <t>SOFTWARE</t>
  </si>
  <si>
    <t>{
  "Zephyr Test Number": "T3037",
   "Quote Id": "a8Rbn000000OC01EAG",
   "BoM Source": "Opportunity BoMs",
   "BoMs to Copy": "VK142802210IH",
  "Box Sort Value": "GSB-00001",
  "Box Qty": "6",
  "No of Boxes to create": 1,
  "Qty to set on Split Box": "4"
}</t>
  </si>
  <si>
    <t>a8Ram000000JV6XEAW</t>
  </si>
  <si>
    <t>T3950</t>
  </si>
  <si>
    <t>Verify if Show Unassigned Items shows 0 items after all items have manufacturer and supplier assigned</t>
  </si>
  <si>
    <t>T3951</t>
  </si>
  <si>
    <t>T3952</t>
  </si>
  <si>
    <t>T3953</t>
  </si>
  <si>
    <t>contains'</t>
  </si>
  <si>
    <t>hardware</t>
  </si>
  <si>
    <t>T3954</t>
  </si>
  <si>
    <t>[2]</t>
  </si>
  <si>
    <t>[4]</t>
  </si>
  <si>
    <t>T3749</t>
  </si>
  <si>
    <t>a8Ram000000JluTEAS</t>
  </si>
  <si>
    <t>Drag Item Under</t>
  </si>
  <si>
    <t>GSI-00012</t>
  </si>
  <si>
    <t>GSB-00000</t>
  </si>
  <si>
    <t>Clone count</t>
  </si>
  <si>
    <t>Add clones to new group</t>
  </si>
  <si>
    <t>Group name</t>
  </si>
  <si>
    <t>Test</t>
  </si>
  <si>
    <t>T3751</t>
  </si>
  <si>
    <t>Items to delete</t>
  </si>
  <si>
    <t>Box to delete</t>
  </si>
  <si>
    <t>GSB-00002</t>
  </si>
  <si>
    <t>[21,3,25]</t>
  </si>
  <si>
    <t>T3752</t>
  </si>
  <si>
    <t>Check the scenario after adding whole Bom to Quote</t>
  </si>
  <si>
    <t>BoM to copy</t>
  </si>
  <si>
    <t>MJ158551084NL</t>
  </si>
  <si>
    <t>Opportunity</t>
  </si>
  <si>
    <t>T3753</t>
  </si>
  <si>
    <t>Check scenario after adding whole Bom to Quote using "Quick Add to Quote</t>
  </si>
  <si>
    <t>T3760</t>
  </si>
  <si>
    <t>T3764</t>
  </si>
  <si>
    <t>Check by deleting one item from the Box and again cloning the same Box</t>
  </si>
  <si>
    <t>Check Qty Box is not disabled when MIT is added (after last item on ffirst Box) and Boxes can be cloned</t>
  </si>
  <si>
    <t>Check the Cloned Boxes when an Item and/or Box is deleted after cloning</t>
  </si>
  <si>
    <t xml:space="preserve">Check Clone Box functionality after Split Box </t>
  </si>
  <si>
    <t>T125</t>
  </si>
  <si>
    <t>Unlock Boxes</t>
  </si>
  <si>
    <t>Box A</t>
  </si>
  <si>
    <t>T127</t>
  </si>
  <si>
    <t>Rename Text</t>
  </si>
  <si>
    <t>Test Box</t>
  </si>
  <si>
    <t>Select Element</t>
  </si>
  <si>
    <t>Move Item Under</t>
  </si>
  <si>
    <t>Item to move</t>
  </si>
  <si>
    <t>Expand Box</t>
  </si>
  <si>
    <t>Move Box Under</t>
  </si>
  <si>
    <t>Move Group Under</t>
  </si>
  <si>
    <t>GSI-00018</t>
  </si>
  <si>
    <t>Test Group</t>
  </si>
  <si>
    <t>Group A</t>
  </si>
  <si>
    <t>GSI-00013</t>
  </si>
  <si>
    <t>T129</t>
  </si>
  <si>
    <t>Newly Created Element Name</t>
  </si>
  <si>
    <t>Box to move</t>
  </si>
  <si>
    <t>Group to move</t>
  </si>
  <si>
    <t>T132</t>
  </si>
  <si>
    <t>["Item A", "Box A", "Group A"]</t>
  </si>
  <si>
    <t>["BE7K-PSU","C8300-1N1S-4T2X", "New Node"]</t>
  </si>
  <si>
    <t>T134</t>
  </si>
  <si>
    <t>Select Element contains a mix of items and boxes and groups</t>
  </si>
  <si>
    <t>["BE7H-M6-K9","New Node","C8300-1N1S-4T2X","CON-DSSNT-C8500L8X"]</t>
  </si>
  <si>
    <t>BoM to Copy for test</t>
  </si>
  <si>
    <t>T202</t>
  </si>
  <si>
    <t>BoM Source for test</t>
  </si>
  <si>
    <t>T3920</t>
  </si>
  <si>
    <t>Cust Dsc (%)</t>
  </si>
  <si>
    <t>Increase by X percent</t>
  </si>
  <si>
    <t>==equal'</t>
  </si>
  <si>
    <t>~contains',
  '!~does not contain',
  '==equal',
  '!not equal',
  '^begins with',
  '!^does not begin with',
  '|ends with',
  '!@does not end with',
  "=''is empty",
  "!=''isn't empty"</t>
  </si>
  <si>
    <t>T3955</t>
  </si>
  <si>
    <t>network</t>
  </si>
  <si>
    <t>[3]</t>
  </si>
  <si>
    <t>T3964</t>
  </si>
  <si>
    <t>Unit_List_Price__c</t>
  </si>
  <si>
    <t>&gt;greater'</t>
  </si>
  <si>
    <t>==equal',
  '!not equal',
  '&lt;less',
  '&lt;=less or equal',
  '&gt;greater',
  '&gt;=greater or equal',
  "=''is empty",
  "!=''isn't empty"</t>
  </si>
  <si>
    <t>T3965</t>
  </si>
  <si>
    <t>VAR_Cost__c</t>
  </si>
  <si>
    <t>&lt;=less or equal'</t>
  </si>
  <si>
    <t>a8Ram000000Kn2zEAC</t>
  </si>
  <si>
    <t>a8Ram000000Kn4bEAC</t>
  </si>
  <si>
    <t>a8Ram000000Kn6DEAS</t>
  </si>
  <si>
    <t>a8Ram000000Kn7pEAC</t>
  </si>
  <si>
    <t>a8Ram000000Kn6EEAS</t>
  </si>
  <si>
    <t>a8Ram000000Kn9REAS</t>
  </si>
  <si>
    <t>a8Ram000000KsfNEAS</t>
  </si>
  <si>
    <t>a8Ram000000KsgzEAC</t>
  </si>
  <si>
    <t>a8Ram000000KsibEAC</t>
  </si>
  <si>
    <t>a8Ram000000KskDEAS</t>
  </si>
  <si>
    <t>a8Ram000000Ksp3EAC</t>
  </si>
  <si>
    <t>a8Ram000000KsqfEAC</t>
  </si>
  <si>
    <t>a8Ram000000KssHEAS</t>
  </si>
  <si>
    <t>a8Ram000000Kt0LEAS</t>
  </si>
  <si>
    <t>a8Ram000000Kt1xEAC</t>
  </si>
  <si>
    <t>a8Ram000000Kt3ZEAS</t>
  </si>
  <si>
    <t>a8Ram000000Kt5BEAS</t>
  </si>
  <si>
    <t>a8Ram000000Kt6nEAC</t>
  </si>
  <si>
    <t>{
  "Zephyr Test Number": "T3033",
   "Quote Id": "a8Ram000000Il6vEAC",
   "BoM Source": "Opportunity BoMs",
   "BoMs to Copy": "VK142802210IH",
  "Box Sort Value": "GSB-00001",
  "Box Qty": "1"
}</t>
  </si>
  <si>
    <t>{
  "Zephyr Test Number": "T3032",
   "Quote Id": "a8Ram000000Ksp3EAC",
   "BoM Source": "Opportunity BoMs",
   "BoMs to Copy": "VK142802210IH",
  "Box Sort Value": "GSB-00001",
  "Box Qty": "2"
}</t>
  </si>
  <si>
    <t>{
  "Zephyr Test Number": "T3034",
   "Quote Id": "a8Ram000000KsqfEAC",
   "BoM Source": "Opportunity BoMs",
   "BoMs to Copy": "VK142802210IH",
  "Box Sort Value": "GSB-00001",
  "Box Qty": "2"
}</t>
  </si>
  <si>
    <r>
      <t xml:space="preserve">{
  "Zephyr Test Number": "T3036",
   "Quote Id": "a8Ram000000KssHEAS",
   "BoM Source": "Opportunity BoMs",
   "BoMs to Copy": "VK142802210IH",
  "Box Sort Value": "GSB-00001",
  "Box Qty": "4",
</t>
    </r>
    <r>
      <rPr>
        <sz val="11"/>
        <color rgb="FFFF0000"/>
        <rFont val="Aptos Narrow"/>
        <family val="2"/>
        <scheme val="minor"/>
      </rPr>
      <t>  "Set Split Box Qty on Window": "3",</t>
    </r>
    <r>
      <rPr>
        <sz val="11"/>
        <color theme="1"/>
        <rFont val="Aptos Narrow"/>
        <family val="2"/>
        <scheme val="minor"/>
      </rPr>
      <t xml:space="preserve">
  "Qty to set on Split Box": "2"
}</t>
    </r>
  </si>
  <si>
    <t>{
  "Zephyr Test Number": "T3947",
   "Quote Id": "a8Ram000000Kt6nEAC",
   "BoM Source": "Opportunity BoMs",
   "BoMs to Copy": "VK142802210IH",
  "Box Sort Value": "GSB-00001",
  "Box Qty": "4",
   "Set Split Box Qty on Window": "3"
}</t>
  </si>
  <si>
    <t>{
  "Zephyr Test Number": "T3936",
   "Quote Id": "a8Ram000000Kt5BEAS",
   "BoM Source": "Opportunity BoMs",
   "BoMs to Copy": "VK142802210IH",
  "Box Sort Value": "GSB-00001",
  "Box Qty": "4",
  "No of Boxes to create": "3"
}</t>
  </si>
  <si>
    <t>{
  "Zephyr Test Number": "T3920",
   "Quote Id": "a8Ram000000Kt3ZEAS",
   "BoM Source": "Opportunity BoMs",
   "BoMs to Copy": "VK142802210IH",
  "Box Sort Value": "GSB-00001",
  "Box Qty": "4",
  "Set Split Box Qty on Window": "8"
}</t>
  </si>
  <si>
    <t>{
  "Zephyr Test Number": "T3038",
   "Quote Id": "a8Ram000000Kt1xEAC",
   "BoM Source": "Opportunity BoMs",
   "BoMs to Copy": "VK142802210IH",
  "Box Sort Value": "GSB-00001",
  "Box Qty": "4",
  "No of Boxes to create": 1,
  "Qty to set on Split Box": "2"
}</t>
  </si>
  <si>
    <t>{
  "Zephyr Test Number": "T3035",
   "Quote Id": "a8Ram000000Kt0LEAS",
   "BoM Source": "Opportunity BoMs",
   "BoMs to Copy": "VK142802210IH",
  "Box Sort Value": "GSB-00001",
  "Box Qty": "4",
  "No of Boxes to create": 1,
  "Qty to set on Split Box": "2"
}</t>
  </si>
  <si>
    <t>a8Ram000000KysrEAC</t>
  </si>
  <si>
    <t>a8Ram000000KyxhEAC</t>
  </si>
  <si>
    <t>a8Ram000000L0Q1EAK</t>
  </si>
  <si>
    <t>a8Ram000000L0RdEAK</t>
  </si>
  <si>
    <t>a8Ram000000L0TFEA0</t>
  </si>
  <si>
    <t>a8Ram000000L0UrEAK</t>
  </si>
  <si>
    <t>a8Ram000000L0WTEA0</t>
  </si>
  <si>
    <t>a8Ram000000L0Y5EAK</t>
  </si>
  <si>
    <t>a8Ram000000L0ZhEAK</t>
  </si>
  <si>
    <t>a8Ram000000L0bJEAS</t>
  </si>
  <si>
    <t>a8Ram000000L0cvEAC</t>
  </si>
  <si>
    <t>a8Ram000000L0eXEAS</t>
  </si>
  <si>
    <t>a8Ram000000L0g9EAC</t>
  </si>
  <si>
    <t>a8RWr0000009HxhMAE</t>
  </si>
  <si>
    <t>a8RWr0000009HzJMAU</t>
  </si>
  <si>
    <t>a8RWr0000009Hw6MAE</t>
  </si>
  <si>
    <t>a8RWr0000009I0vMAE</t>
  </si>
  <si>
    <t>a8RWr0000009I2XMAU</t>
  </si>
  <si>
    <t>a8RWr0000009I49MAE</t>
  </si>
  <si>
    <t>a8RWr0000009I5lMAE</t>
  </si>
  <si>
    <t>a8RWr0000009I7NMAU</t>
  </si>
  <si>
    <t>a8RWr0000009I8zMAE</t>
  </si>
  <si>
    <t>a8RWr0000009IAbMAM</t>
  </si>
  <si>
    <t>{
  "Zephyr Test Number": "T3033",
   "Quote Id": "a8RWr0000009HxhMAE",
   "BoM Source": "Opportunity BoMs",
   "BoMs to Copy": "VK142802210IH",
  "Box Sort Value": "GSB-00001",
  "Box Qty": "1"
}</t>
  </si>
  <si>
    <r>
      <t xml:space="preserve">{
  "Zephyr Test Number": "T3036",
   "Quote Id": "a8RWr0000009HxhMAE",
   "BoM Source": "Opportunity BoMs",
   "BoMs to Copy": "VK142802210IH",
  "Box Sort Value": "GSB-00001",
  "Box Qty": "4",
</t>
    </r>
    <r>
      <rPr>
        <sz val="11"/>
        <color rgb="FFFF0000"/>
        <rFont val="Aptos Narrow"/>
        <family val="2"/>
        <scheme val="minor"/>
      </rPr>
      <t>  "Set Split Box Qty on Window": "3",</t>
    </r>
    <r>
      <rPr>
        <sz val="11"/>
        <color theme="1"/>
        <rFont val="Aptos Narrow"/>
        <family val="2"/>
        <scheme val="minor"/>
      </rPr>
      <t xml:space="preserve">
  "Qty to set on Split Box": "2"
}</t>
    </r>
  </si>
  <si>
    <t>{
  "Zephyr Test Number": "T3920",
   "Quote Id": "a8RWr0000009HxhMAE",
   "BoM Source": "Opportunity BoMs",
   "BoMs to Copy": "VK142802210IH",
  "Box Sort Value": "GSB-00001",
  "Box Qty": "4",
  "Set Split Box Qty on Window": "8"
}</t>
  </si>
  <si>
    <t>{
  "Zephyr Test Number": "T3032",
   "Quote Id": "a8RWr0000009HzJMAU",
   "BoM Source": "Opportunity BoMs",
   "BoMs to Copy": "VK142802210IH",
  "Box Sort Value": "GSB-00001",
  "Box Qty": "2"
}</t>
  </si>
  <si>
    <t>{
  "Zephyr Test Number": "T3035",
   "Quote Id": "a8RWr0000009HzJMAU",
   "BoM Source": "Opportunity BoMs",
   "BoMs to Copy": "VK142802210IH",
  "Box Sort Value": "GSB-00001",
  "Box Qty": "4",
  "No of Boxes to create": 1,
  "Qty to set on Split Box": "2"
}</t>
  </si>
  <si>
    <t>{
  "Zephyr Test Number": "T3936",
   "Quote Id": "a8RWr0000009HzJMAU",
   "BoM Source": "Opportunity BoMs",
   "BoMs to Copy": "VK142802210IH",
  "Box Sort Value": "GSB-00001",
  "Box Qty": "4",
  "No of Boxes to create": "3"
}</t>
  </si>
  <si>
    <t>{
  "Zephyr Test Number": "T3034",
   "Quote Id": "a8RWr0000009Hw6MAE",
   "BoM Source": "Opportunity BoMs",
   "BoMs to Copy": "VK142802210IH",
  "Box Sort Value": "GSB-00001",
  "Box Qty": "2"
}</t>
  </si>
  <si>
    <t>{
  "Zephyr Test Number": "T3038",
   "Quote Id": "a8RWr0000009Hw6MAE",
   "BoM Source": "Opportunity BoMs",
   "BoMs to Copy": "VK142802210IH",
  "Box Sort Value": "GSB-00001",
  "Box Qty": "4",
  "No of Boxes to create": 1,
  "Qty to set on Split Box": "2"
}</t>
  </si>
  <si>
    <t>{
  "Zephyr Test Number": "T3947",
   "Quote Id": "a8RWr0000009Hw6MAE",
   "BoM Source": "Opportunity BoMs",
   "BoMs to Copy": "VK142802210IH",
  "Box Sort Value": "GSB-00001",
  "Box Qty": "4",
   "Set Split Box Qty on Window": "3"
}</t>
  </si>
  <si>
    <t>{
  "Zephyr Test Number": "T3037",
   "Quote Id": "a8RWr0000009I0vMAE",
   "BoM Source": "Opportunity BoMs",
   "BoMs to Copy": "VK142802210IH",
  "Box Sort Value": "GSB-00001",
  "Box Qty": "6",
  "No of Boxes to create": 1,
  "Qty to set on Split Box": "4"
}</t>
  </si>
  <si>
    <t>{
  "Zephyr Test Number": "T40",
   "Quote Id": "a8RWr0000009I0vMAE",
   "BoM Source": "Opportunity BoMs",
   "BoMs to Copy": "VK142802210IH",
  "Box Sort Value": "GSB-00001",
  "Box Qty": "4",
  "No of Boxes to create": "3"
}</t>
  </si>
  <si>
    <t>a8Ram000000JGfNEAW</t>
  </si>
  <si>
    <t>a8RWr0000009IDpMAM</t>
  </si>
  <si>
    <t>a8RWr0000009IFRMA2</t>
  </si>
  <si>
    <t>a8Rbn000000G0YjEAK</t>
  </si>
  <si>
    <t>Bill Gates100</t>
  </si>
  <si>
    <t>Bill Gates101</t>
  </si>
  <si>
    <t>ABC</t>
  </si>
  <si>
    <t>ABC SD</t>
  </si>
  <si>
    <t>a8RWr0000009IH3MAM</t>
  </si>
  <si>
    <t>a8RWr0000009IIfMAM</t>
  </si>
  <si>
    <t>a8RWr0000009IKHMA2</t>
  </si>
  <si>
    <t>a8RWr0000009ILtMAM</t>
  </si>
  <si>
    <t>a8RWr0000009IQjMAM</t>
  </si>
  <si>
    <t>a8RWr0000009ISLMA2</t>
  </si>
  <si>
    <t>a8RWr0000009IVZMA2</t>
  </si>
  <si>
    <t>a8RWr0000009IXBMA2</t>
  </si>
  <si>
    <t>aC7DN00000002YF0AY</t>
  </si>
  <si>
    <t>aC7DN00000002YA0AY</t>
  </si>
  <si>
    <t>aC7DN00000002Y50AI</t>
  </si>
  <si>
    <t>TX163408061IL</t>
  </si>
  <si>
    <t>aC7DN00000002YK0AY</t>
  </si>
  <si>
    <t>aC7DN00000002YP0AY</t>
  </si>
  <si>
    <t>aC7DN00000002YU0AY</t>
  </si>
  <si>
    <t>80875829-4776821145</t>
  </si>
  <si>
    <t>E3-CX-UMBA-T1SSA</t>
  </si>
  <si>
    <t>{
  "Zephyr Test Number": "T3037",
   "Quote Id": "aC7DN00000002YF0AY",
   "BoM Source": "Opportunity BoMs",
   "BoMs to Copy": "VK142802210IH",
  "Box Sort Value": "GSB-00001",
  "Box Qty": "6",
  "No of Boxes to create": 1,
  "Qty to set on Split Box": "4"
}</t>
  </si>
  <si>
    <t>{
  "Zephyr Test Number": "T3035",
   "Quote Id": "aC7DN00000002Y50AI",
   "BoM Source": "Opportunity BoMs",
   "BoMs to Copy": "VK142802210IH",
  "Box Sort Value": "GSB-00001",
  "Box Qty": "4",
  "No of Boxes to create": 1,
  "Qty to set on Split Box": "2"
}</t>
  </si>
  <si>
    <t>{
  "Zephyr Test Number": "T3038",
   "Quote Id": "aC7DN00000002YU0AY",
   "BoM Source": "Opportunity BoMs",
   "BoMs to Copy": "VK142802210IH",
  "Box Sort Value": "GSB-00001",
  "Box Qty": "4",
  "No of Boxes to create": 1,
  "Qty to set on Split Box": "2"
}</t>
  </si>
  <si>
    <t>{
  "Zephyr Test Number": "T3936",
   "Quote Id": "aC7DN00000002YF0AY",
   "BoM Source": "Opportunity BoMs",
   "BoMs to Copy": "VK142802210IH",
  "Box Sort Value": "GSB-00001",
  "Box Qty": "4",
  "No of Boxes to create": "3"
}</t>
  </si>
  <si>
    <t>{
  "Zephyr Test Number": "T3947",
   "Quote Id": "aC7DN00000002YA0AY",
   "BoM Source": "Opportunity BoMs",
   "BoMs to Copy": "VK142802210IH",
  "Box Sort Value": "GSB-00001",
  "Box Qty": "4",
   "Set Split Box Qty on Window": "3"
}</t>
  </si>
  <si>
    <r>
      <t xml:space="preserve">if you want filter field as item type give filter field as </t>
    </r>
    <r>
      <rPr>
        <b/>
        <sz val="11"/>
        <color rgb="FF000000"/>
        <rFont val="Aptos Narrow"/>
        <family val="2"/>
        <scheme val="minor"/>
      </rPr>
      <t>Item_Type_X__c</t>
    </r>
  </si>
  <si>
    <t>"~contains',
  '!~does not contain',
  '==equal',
  '!not equal',
  '^begins with',
  '!^does not begin with',
  '|ends with',
  '!@does not end with',
  ""=''is empty"",
  ""!=''isn't empty"""</t>
  </si>
  <si>
    <t>"==equal',
  '!not equal',
  '&lt;less',
  '&lt;=less or equal',
  '&gt;greater',
  '&gt;=greater or equal',
  ""=''is empty"",
  ""!=''isn't empty"""</t>
  </si>
  <si>
    <r>
      <t xml:space="preserve">Updating ShipTo for a </t>
    </r>
    <r>
      <rPr>
        <b/>
        <sz val="11"/>
        <color rgb="FF51154A"/>
        <rFont val="Aptos Narrow"/>
        <family val="2"/>
        <scheme val="minor"/>
      </rPr>
      <t>Single Item</t>
    </r>
    <r>
      <rPr>
        <sz val="11"/>
        <color rgb="FF000000"/>
        <rFont val="Aptos Narrow"/>
        <family val="2"/>
        <scheme val="minor"/>
      </rPr>
      <t xml:space="preserve"> in </t>
    </r>
    <r>
      <rPr>
        <b/>
        <sz val="11"/>
        <color rgb="FFE97132"/>
        <rFont val="Aptos Narrow"/>
        <family val="2"/>
        <scheme val="minor"/>
      </rPr>
      <t>Standard Quote</t>
    </r>
    <r>
      <rPr>
        <sz val="11"/>
        <color rgb="FF000000"/>
        <rFont val="Aptos Narrow"/>
        <family val="2"/>
        <scheme val="minor"/>
      </rPr>
      <t xml:space="preserve"> using </t>
    </r>
    <r>
      <rPr>
        <b/>
        <sz val="11"/>
        <color rgb="FF215C98"/>
        <rFont val="Aptos Narrow"/>
        <family val="2"/>
        <scheme val="minor"/>
      </rPr>
      <t>Bulk</t>
    </r>
    <r>
      <rPr>
        <sz val="11"/>
        <color rgb="FF000000"/>
        <rFont val="Aptos Narrow"/>
        <family val="2"/>
        <scheme val="minor"/>
      </rPr>
      <t xml:space="preserve"> Mode </t>
    </r>
  </si>
  <si>
    <r>
      <t xml:space="preserve">Updating ShipTo for a </t>
    </r>
    <r>
      <rPr>
        <b/>
        <sz val="11"/>
        <color rgb="FF51154A"/>
        <rFont val="Aptos Narrow"/>
        <family val="2"/>
        <scheme val="minor"/>
      </rPr>
      <t>Multiple Item</t>
    </r>
    <r>
      <rPr>
        <sz val="11"/>
        <color rgb="FF000000"/>
        <rFont val="Aptos Narrow"/>
        <family val="2"/>
        <scheme val="minor"/>
      </rPr>
      <t xml:space="preserve"> in </t>
    </r>
    <r>
      <rPr>
        <b/>
        <sz val="11"/>
        <color rgb="FFE97132"/>
        <rFont val="Aptos Narrow"/>
        <family val="2"/>
        <scheme val="minor"/>
      </rPr>
      <t>Standard Quote</t>
    </r>
    <r>
      <rPr>
        <sz val="11"/>
        <color rgb="FF000000"/>
        <rFont val="Aptos Narrow"/>
        <family val="2"/>
        <scheme val="minor"/>
      </rPr>
      <t xml:space="preserve"> using </t>
    </r>
    <r>
      <rPr>
        <b/>
        <sz val="11"/>
        <color rgb="FF215C98"/>
        <rFont val="Aptos Narrow"/>
        <family val="2"/>
        <scheme val="minor"/>
      </rPr>
      <t>Bulk</t>
    </r>
    <r>
      <rPr>
        <sz val="11"/>
        <color rgb="FF000000"/>
        <rFont val="Aptos Narrow"/>
        <family val="2"/>
        <scheme val="minor"/>
      </rPr>
      <t xml:space="preserve"> Mode </t>
    </r>
  </si>
  <si>
    <r>
      <t xml:space="preserve">Updating ShipTo for </t>
    </r>
    <r>
      <rPr>
        <b/>
        <sz val="11"/>
        <color rgb="FF51154A"/>
        <rFont val="Aptos Narrow"/>
        <family val="2"/>
        <scheme val="minor"/>
      </rPr>
      <t>All Items</t>
    </r>
    <r>
      <rPr>
        <sz val="11"/>
        <color rgb="FF000000"/>
        <rFont val="Aptos Narrow"/>
        <family val="2"/>
        <scheme val="minor"/>
      </rPr>
      <t xml:space="preserve"> in </t>
    </r>
    <r>
      <rPr>
        <b/>
        <sz val="11"/>
        <color rgb="FFE97132"/>
        <rFont val="Aptos Narrow"/>
        <family val="2"/>
        <scheme val="minor"/>
      </rPr>
      <t>Standard Quote</t>
    </r>
    <r>
      <rPr>
        <sz val="11"/>
        <color rgb="FF000000"/>
        <rFont val="Aptos Narrow"/>
        <family val="2"/>
        <scheme val="minor"/>
      </rPr>
      <t xml:space="preserve"> using </t>
    </r>
    <r>
      <rPr>
        <b/>
        <sz val="11"/>
        <color rgb="FF215C98"/>
        <rFont val="Aptos Narrow"/>
        <family val="2"/>
        <scheme val="minor"/>
      </rPr>
      <t>Bulk</t>
    </r>
    <r>
      <rPr>
        <sz val="11"/>
        <color rgb="FF000000"/>
        <rFont val="Aptos Narrow"/>
        <family val="2"/>
        <scheme val="minor"/>
      </rPr>
      <t xml:space="preserve"> Mode </t>
    </r>
  </si>
  <si>
    <r>
      <t xml:space="preserve">Updating ShipTo for a </t>
    </r>
    <r>
      <rPr>
        <b/>
        <sz val="11"/>
        <color rgb="FF51154A"/>
        <rFont val="Aptos Narrow"/>
        <family val="2"/>
        <scheme val="minor"/>
      </rPr>
      <t>Single Item</t>
    </r>
    <r>
      <rPr>
        <sz val="11"/>
        <color rgb="FF000000"/>
        <rFont val="Aptos Narrow"/>
        <family val="2"/>
        <scheme val="minor"/>
      </rPr>
      <t xml:space="preserve"> in </t>
    </r>
    <r>
      <rPr>
        <b/>
        <sz val="11"/>
        <color rgb="FFE97132"/>
        <rFont val="Aptos Narrow"/>
        <family val="2"/>
        <scheme val="minor"/>
      </rPr>
      <t>Standard Quote</t>
    </r>
    <r>
      <rPr>
        <sz val="11"/>
        <color rgb="FF000000"/>
        <rFont val="Aptos Narrow"/>
        <family val="2"/>
        <scheme val="minor"/>
      </rPr>
      <t xml:space="preserve"> using </t>
    </r>
    <r>
      <rPr>
        <b/>
        <sz val="11"/>
        <color rgb="FF215C98"/>
        <rFont val="Aptos Narrow"/>
        <family val="2"/>
        <scheme val="minor"/>
      </rPr>
      <t>Inline</t>
    </r>
    <r>
      <rPr>
        <sz val="11"/>
        <color rgb="FF000000"/>
        <rFont val="Aptos Narrow"/>
        <family val="2"/>
        <scheme val="minor"/>
      </rPr>
      <t xml:space="preserve"> Mode </t>
    </r>
  </si>
  <si>
    <r>
      <t xml:space="preserve">Updating ShipTo for </t>
    </r>
    <r>
      <rPr>
        <b/>
        <sz val="11"/>
        <color rgb="FF51154A"/>
        <rFont val="Aptos Narrow"/>
        <family val="2"/>
        <scheme val="minor"/>
      </rPr>
      <t>Multi Item</t>
    </r>
    <r>
      <rPr>
        <sz val="11"/>
        <color rgb="FF000000"/>
        <rFont val="Aptos Narrow"/>
        <family val="2"/>
        <scheme val="minor"/>
      </rPr>
      <t xml:space="preserve"> in </t>
    </r>
    <r>
      <rPr>
        <b/>
        <sz val="11"/>
        <color rgb="FFE97132"/>
        <rFont val="Aptos Narrow"/>
        <family val="2"/>
        <scheme val="minor"/>
      </rPr>
      <t>Standard Quote</t>
    </r>
    <r>
      <rPr>
        <sz val="11"/>
        <color rgb="FF000000"/>
        <rFont val="Aptos Narrow"/>
        <family val="2"/>
        <scheme val="minor"/>
      </rPr>
      <t xml:space="preserve"> using </t>
    </r>
    <r>
      <rPr>
        <b/>
        <sz val="11"/>
        <color rgb="FF215C98"/>
        <rFont val="Aptos Narrow"/>
        <family val="2"/>
        <scheme val="minor"/>
      </rPr>
      <t>Inline</t>
    </r>
    <r>
      <rPr>
        <sz val="11"/>
        <color rgb="FF000000"/>
        <rFont val="Aptos Narrow"/>
        <family val="2"/>
        <scheme val="minor"/>
      </rPr>
      <t xml:space="preserve"> Mode </t>
    </r>
  </si>
  <si>
    <r>
      <t xml:space="preserve">This test validates that the shipTo Assignment Grid Loads without changing any ShipTo Account for </t>
    </r>
    <r>
      <rPr>
        <b/>
        <sz val="11"/>
        <color rgb="FF000000"/>
        <rFont val="Aptos Narrow"/>
        <family val="2"/>
        <scheme val="minor"/>
      </rPr>
      <t>Standard Quote</t>
    </r>
  </si>
  <si>
    <r>
      <t xml:space="preserve">This test validates that the shipTo Assignment Grid Loads without changing any ShipTo Account for </t>
    </r>
    <r>
      <rPr>
        <b/>
        <sz val="11"/>
        <color rgb="FF000000"/>
        <rFont val="Aptos Narrow"/>
        <family val="2"/>
        <scheme val="minor"/>
      </rPr>
      <t>Maintenance Quote</t>
    </r>
  </si>
  <si>
    <t>Cisco SaaS (0000301558)</t>
  </si>
  <si>
    <t>Cisco Systems Flooring (0000300254)</t>
  </si>
  <si>
    <t>CISCO NON-FLOORING (0000303972)</t>
  </si>
  <si>
    <t>{
  ""Zephyr Test Number"": ""T3033"",
   ""Quote Id"": ""aC7DN00000002YU0AY"",
   ""BoM Source"": ""Opportunity BoMs"",
   ""BoMs to Copy"": ""VK142802210IH"",
  ""Box Sort Value"": ""GSB-00001"",
  ""Box Qty"": ""1""
}</t>
  </si>
  <si>
    <t>{
  ""Zephyr Test Number"": ""T3034"",
   ""Quote Id"": ""aC7DN00000002YK0AY"",
   ""BoM Source"": ""Opportunity BoMs"",
   ""BoMs to Copy"": ""VK142802210IH"",
  ""Box Sort Value"": ""GSB-00001"",
  ""Box Qty"": ""2""
}</t>
  </si>
  <si>
    <t>{
  ""Zephyr Test Number"": ""T3032"",
   ""Quote Id"": ""aC7DN00000002YP0AY"",
   ""BoM Source"": ""Opportunity BoMs"",
   ""BoMs to Copy"": ""VK142802210IH"",
  ""Box Sort Value"": ""GSB-00001"",
  ""Box Qty"": ""2""
}</t>
  </si>
  <si>
    <t>{
  ""Zephyr Test Number"": ""T3920"",
   ""Quote Id"": ""aC7DN00000002YK0AY"",
   ""BoM Source"": ""Opportunity BoMs"",
   ""BoMs to Copy"": ""VK142802210IH"",
  ""Box Sort Value"": ""GSB-00001"",
  ""Box Qty"": ""4"",
  ""Set Split Box Qty on Window"": ""8""
}</t>
  </si>
  <si>
    <t>{
  ""Zephyr Test Number"": ""T40"",
   ""Quote Id"": ""aC7DN00000002YP0AY"",
   ""BoM Source"": ""Opportunity BoMs"",
   ""BoMs to Copy"": ""VK142802210IH"",
  ""Box Sort Value"": ""GSB-00001"",
  ""Box Qty"": ""4"",
  ""No of Boxes to create"": ""3""
}</t>
  </si>
  <si>
    <t>{
  ""Zephyr Test Number"": ""T3036"",
   ""Quote Id"": ""aC7DN00000002YA0AY"",
   ""BoM Source"": ""Opportunity BoMs"",
   ""BoMs to Copy"": ""VK142802210IH"",
  ""Box Sort Value"": ""GSB-00001"",
  ""Box Qty"": ""4"",
  ""Set Split Box Qty on Window"": ""3"",
  ""Qty to set on Split Box"": ""2""
}</t>
  </si>
  <si>
    <t>aC7DN00000002af0AA</t>
  </si>
  <si>
    <t>aC7DN00000002aa0AA</t>
  </si>
  <si>
    <t>aC7DN00000002aM0AQ</t>
  </si>
  <si>
    <t>aC7DN00000002aQ0AQ</t>
  </si>
  <si>
    <t>aC7DN00000002aV0AQ</t>
  </si>
  <si>
    <t>aC7DN00000002ak0AA</t>
  </si>
  <si>
    <t>aC7DN00000002cW0AQ</t>
  </si>
  <si>
    <t>aC7DN00000002fV0AQ</t>
  </si>
  <si>
    <t>aC7DN00000002fa0AA</t>
  </si>
  <si>
    <t>[0,1]</t>
  </si>
  <si>
    <t>["BE7K-PSU","BE7H-M6-K9", "New Node"]</t>
  </si>
  <si>
    <t>["BE7H-M6-K9","New Node","BE7H-M6-K9","DNA-P-T2-A-3Y"]</t>
  </si>
  <si>
    <t>aC7Dm000000wlicKAA</t>
  </si>
  <si>
    <t>aC7Dm000000wlihKAA</t>
  </si>
  <si>
    <t>aC7Dm000000wlimKAA</t>
  </si>
  <si>
    <t>aC7Dm000000wlirKAA</t>
  </si>
  <si>
    <t>aC7Dm000000wliwKAA</t>
  </si>
  <si>
    <t>aC7Dm000000wlj1KAA</t>
  </si>
  <si>
    <t>83497842-4789651383</t>
  </si>
  <si>
    <t>E3N-MS-300-M-E</t>
  </si>
  <si>
    <t>"{
  ""Zephyr Test Number"": ""T3033"",
   ""Quote Id"": ""aC7Dm000000wlj1KAA"",
   ""BoM Source"": ""Opportunity BoMs"",
   ""BoMs to Copy"": ""VK142802210IH"",
  ""Box Sort Value"": ""GSB-00001"",
  ""Box Qty"": ""1""
}"</t>
  </si>
  <si>
    <t>"{
  ""Zephyr Test Number"": ""T3032"",
   ""Quote Id"": ""aC7Dm000000wliwKAA"",
   ""BoM Source"": ""Opportunity BoMs"",
   ""BoMs to Copy"": ""VK142802210IH"",
  ""Box Sort Value"": ""GSB-00001"",
  ""Box Qty"": ""2""
}"</t>
  </si>
  <si>
    <t>"{
  ""Zephyr Test Number"": ""T3034"",
   ""Quote Id"": ""aC7Dm000000wlirKAA"",
   ""BoM Source"": ""Opportunity BoMs"",
   ""BoMs to Copy"": ""VK142802210IH"",
  ""Box Sort Value"": ""GSB-00001"",
  ""Box Qty"": ""2""
}"</t>
  </si>
  <si>
    <t>"{
  ""Zephyr Test Number"": ""T3037"",
   ""Quote Id"": ""aC7Dm000000wlimKAA"",
   ""BoM Source"": ""Opportunity BoMs"",
   ""BoMs to Copy"": ""VK142802210IH"",
  ""Box Sort Value"": ""GSB-00001"",
  ""Box Qty"": ""6"",
  ""No of Boxes to create"": 1,
  ""Qty to set on Split Box"": ""4""
}"</t>
  </si>
  <si>
    <t>"{
  ""Zephyr Test Number"": ""T3036"",
   ""Quote Id"": ""aC7Dm000000wlihKAA"",
   ""BoM Source"": ""Opportunity BoMs"",
   ""BoMs to Copy"": ""VK142802210IH"",
  ""Box Sort Value"": ""GSB-00001"",
  ""Box Qty"": ""4"",
  ""Set Split Box Qty on Window"": ""3"",
  ""Qty to set on Split Box"": ""2""
}"</t>
  </si>
  <si>
    <t>"{
  ""Zephyr Test Number"": ""T3035"",
   ""Quote Id"": ""aC7Dm000000wlicKAA"",
   ""BoM Source"": ""Opportunity BoMs"",
   ""BoMs to Copy"": ""VK142802210IH"",
  ""Box Sort Value"": ""GSB-00001"",
  ""Box Qty"": ""4"",
  ""No of Boxes to create"": 1,
  ""Qty to set on Split Box"": ""2""
}"</t>
  </si>
  <si>
    <t>"{
  ""Zephyr Test Number"": ""T3038"",
   ""Quote Id"": ""aC7Dm000000wlj1KAA"",
   ""BoM Source"": ""Opportunity BoMs"",
   ""BoMs to Copy"": ""VK142802210IH"",
  ""Box Sort Value"": ""GSB-00001"",
  ""Box Qty"": ""4"",
  ""No of Boxes to create"": 1,
  ""Qty to set on Split Box"": ""2""
}"</t>
  </si>
  <si>
    <t>"{
  ""Zephyr Test Number"": ""T40"",
   ""Quote Id"": ""aC7Dm000000wliwKAA"",
   ""BoM Source"": ""Opportunity BoMs"",
   ""BoMs to Copy"": ""VK142802210IH"",
  ""Box Sort Value"": ""GSB-00001"",
  ""Box Qty"": ""4"",
  ""No of Boxes to create"": ""3""
}"</t>
  </si>
  <si>
    <t>"{
  ""Zephyr Test Number"": ""T3920"",
   ""Quote Id"": ""aC7Dm000000wlirKAA"",
   ""BoM Source"": ""Opportunity BoMs"",
   ""BoMs to Copy"": ""VK142802210IH"",
  ""Box Sort Value"": ""GSB-00001"",
  ""Box Qty"": ""4"",
  ""Set Split Box Qty on Window"": ""8""
}"</t>
  </si>
  <si>
    <t>"{
  ""Zephyr Test Number"": ""T3936"",
   ""Quote Id"": ""aC7Dm000000wlimKAA"",
   ""BoM Source"": ""Opportunity BoMs"",
   ""BoMs to Copy"": ""VK142802210IH"",
  ""Box Sort Value"": ""GSB-00001"",
  ""Box Qty"": ""4"",
  ""No of Boxes to create"": ""3""
}"</t>
  </si>
  <si>
    <t>"{
  ""Zephyr Test Number"": ""T3947"",
   ""Quote Id"": ""aC7Dm000000wlicKAA"",
   ""BoM Source"": ""Opportunity BoMs"",
   ""BoMs to Copy"": ""VK142802210IH"",
  ""Box Sort Value"": ""GSB-00001"",
  ""Box Qty"": ""4"",
   ""Set Split Box Qty on Window"": ""3""
}"</t>
  </si>
  <si>
    <t>aC7Dm000000wlj6KAA</t>
  </si>
  <si>
    <t>aC7Dm000000wljBKAQ</t>
  </si>
  <si>
    <t>aC7Dm000000wljGKAQ</t>
  </si>
  <si>
    <t>aC7Dm000000wljLKAQ</t>
  </si>
  <si>
    <t>aC7Dm000000wljQKAQ</t>
  </si>
  <si>
    <t>aC7Dm000000wljVKAQ</t>
  </si>
  <si>
    <t>aC7Dm000000wljaKAA</t>
  </si>
  <si>
    <t>Test 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</si>
</sst>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######################%"/>
    <numFmt numFmtId="165" formatCode="0.00000000000000%"/>
    <numFmt numFmtId="166" formatCode="\ ###0.0###############"/>
    <numFmt numFmtId="167" formatCode="0.0000000000000"/>
    <numFmt numFmtId="168" formatCode="0.00000000000000"/>
  </numFmts>
  <fonts count="3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16325C"/>
      <name val="Arial"/>
      <family val="2"/>
    </font>
    <font>
      <sz val="11"/>
      <color rgb="FF6A8759"/>
      <name val="Consolas"/>
      <family val="3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3" tint="0.74999237037263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b/>
      <sz val="11"/>
      <color rgb="FF16325C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A6C9EC"/>
      <name val="Aptos Narrow"/>
      <family val="2"/>
      <scheme val="minor"/>
    </font>
    <font>
      <b/>
      <sz val="11"/>
      <color rgb="FF51154A"/>
      <name val="Aptos Narrow"/>
      <family val="2"/>
      <scheme val="minor"/>
    </font>
    <font>
      <b/>
      <sz val="11"/>
      <color rgb="FFE97132"/>
      <name val="Aptos Narrow"/>
      <family val="2"/>
      <scheme val="minor"/>
    </font>
    <font>
      <b/>
      <sz val="11"/>
      <color rgb="FF215C9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5656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B7A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215C9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FCB7A2"/>
        <bgColor rgb="FF000000"/>
      </patternFill>
    </fill>
    <fill>
      <patternFill patternType="solid">
        <fgColor rgb="FFE5656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CAEDFB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2" fillId="12" borderId="7" applyNumberFormat="0" applyFont="0" applyAlignment="0" applyProtection="0"/>
  </cellStyleXfs>
  <cellXfs count="229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1" fillId="0" borderId="0" xfId="0" applyFont="1"/>
    <xf numFmtId="0" fontId="6" fillId="3" borderId="0" xfId="0" applyFont="1" applyFill="1" applyAlignment="1">
      <alignment wrapText="1"/>
    </xf>
    <xf numFmtId="0" fontId="6" fillId="4" borderId="2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 wrapText="1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6" fillId="6" borderId="1" xfId="0" applyFont="1" applyFill="1" applyBorder="1" applyAlignment="1">
      <alignment horizontal="left" wrapText="1"/>
    </xf>
    <xf numFmtId="0" fontId="6" fillId="4" borderId="2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0" fontId="6" fillId="4" borderId="4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left" wrapText="1"/>
    </xf>
    <xf numFmtId="0" fontId="6" fillId="3" borderId="4" xfId="0" applyFont="1" applyFill="1" applyBorder="1" applyAlignment="1">
      <alignment horizontal="left" wrapText="1"/>
    </xf>
    <xf numFmtId="0" fontId="7" fillId="3" borderId="3" xfId="0" applyFont="1" applyFill="1" applyBorder="1" applyAlignment="1">
      <alignment horizontal="left" wrapText="1"/>
    </xf>
    <xf numFmtId="0" fontId="6" fillId="3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4" fillId="0" borderId="0" xfId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0" fillId="0" borderId="0" xfId="0" quotePrefix="1" applyAlignment="1">
      <alignment horizontal="left"/>
    </xf>
    <xf numFmtId="2" fontId="1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0" fillId="3" borderId="2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0" xfId="0" applyAlignment="1">
      <alignment wrapText="1"/>
    </xf>
    <xf numFmtId="0" fontId="0" fillId="7" borderId="0" xfId="0" applyFill="1" applyAlignment="1">
      <alignment horizontal="left" wrapText="1"/>
    </xf>
    <xf numFmtId="0" fontId="0" fillId="7" borderId="0" xfId="0" applyFill="1" applyAlignment="1">
      <alignment wrapText="1"/>
    </xf>
    <xf numFmtId="0" fontId="3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wrapText="1"/>
    </xf>
    <xf numFmtId="0" fontId="6" fillId="6" borderId="2" xfId="0" applyFont="1" applyFill="1" applyBorder="1" applyAlignment="1">
      <alignment wrapText="1"/>
    </xf>
    <xf numFmtId="0" fontId="11" fillId="8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0" fillId="9" borderId="0" xfId="0" applyFill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7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10" fontId="15" fillId="0" borderId="0" xfId="0" applyNumberFormat="1" applyFont="1"/>
    <xf numFmtId="164" fontId="16" fillId="0" borderId="6" xfId="0" applyNumberFormat="1" applyFont="1" applyBorder="1"/>
    <xf numFmtId="2" fontId="15" fillId="0" borderId="0" xfId="0" applyNumberFormat="1" applyFont="1"/>
    <xf numFmtId="0" fontId="15" fillId="0" borderId="0" xfId="0" applyFont="1"/>
    <xf numFmtId="10" fontId="0" fillId="0" borderId="0" xfId="0" applyNumberFormat="1"/>
    <xf numFmtId="165" fontId="0" fillId="0" borderId="0" xfId="0" applyNumberFormat="1"/>
    <xf numFmtId="166" fontId="16" fillId="0" borderId="6" xfId="0" applyNumberFormat="1" applyFont="1" applyBorder="1"/>
    <xf numFmtId="164" fontId="17" fillId="0" borderId="6" xfId="0" applyNumberFormat="1" applyFont="1" applyBorder="1"/>
    <xf numFmtId="10" fontId="1" fillId="0" borderId="0" xfId="0" applyNumberFormat="1" applyFont="1"/>
    <xf numFmtId="165" fontId="1" fillId="0" borderId="0" xfId="0" applyNumberFormat="1" applyFont="1"/>
    <xf numFmtId="0" fontId="18" fillId="0" borderId="0" xfId="0" applyFont="1"/>
    <xf numFmtId="2" fontId="18" fillId="0" borderId="0" xfId="0" applyNumberFormat="1" applyFont="1"/>
    <xf numFmtId="164" fontId="19" fillId="0" borderId="6" xfId="0" applyNumberFormat="1" applyFont="1" applyBorder="1"/>
    <xf numFmtId="164" fontId="20" fillId="0" borderId="6" xfId="0" applyNumberFormat="1" applyFont="1" applyBorder="1"/>
    <xf numFmtId="0" fontId="21" fillId="0" borderId="0" xfId="0" applyFont="1" applyAlignment="1">
      <alignment wrapText="1"/>
    </xf>
    <xf numFmtId="0" fontId="21" fillId="0" borderId="0" xfId="0" applyFont="1"/>
    <xf numFmtId="0" fontId="4" fillId="0" borderId="0" xfId="1"/>
    <xf numFmtId="0" fontId="6" fillId="10" borderId="1" xfId="0" applyFont="1" applyFill="1" applyBorder="1" applyAlignment="1">
      <alignment wrapText="1"/>
    </xf>
    <xf numFmtId="0" fontId="6" fillId="10" borderId="2" xfId="0" applyFont="1" applyFill="1" applyBorder="1" applyAlignment="1">
      <alignment wrapText="1"/>
    </xf>
    <xf numFmtId="0" fontId="6" fillId="11" borderId="2" xfId="0" applyFont="1" applyFill="1" applyBorder="1" applyAlignment="1">
      <alignment wrapText="1"/>
    </xf>
    <xf numFmtId="0" fontId="0" fillId="0" borderId="0" xfId="0" quotePrefix="1" applyAlignment="1">
      <alignment wrapText="1"/>
    </xf>
    <xf numFmtId="0" fontId="6" fillId="10" borderId="1" xfId="0" applyFont="1" applyFill="1" applyBorder="1" applyAlignment="1">
      <alignment horizontal="left" wrapText="1"/>
    </xf>
    <xf numFmtId="0" fontId="6" fillId="13" borderId="0" xfId="0" applyFont="1" applyFill="1" applyAlignment="1">
      <alignment wrapText="1"/>
    </xf>
    <xf numFmtId="0" fontId="6" fillId="12" borderId="7" xfId="2" applyFont="1" applyAlignment="1">
      <alignment wrapText="1"/>
    </xf>
    <xf numFmtId="0" fontId="8" fillId="0" borderId="0" xfId="0" applyFont="1" applyAlignment="1">
      <alignment vertical="center"/>
    </xf>
    <xf numFmtId="0" fontId="6" fillId="2" borderId="0" xfId="0" applyFont="1" applyFill="1" applyAlignment="1">
      <alignment wrapText="1"/>
    </xf>
    <xf numFmtId="0" fontId="23" fillId="0" borderId="0" xfId="0" applyFont="1"/>
    <xf numFmtId="0" fontId="1" fillId="3" borderId="5" xfId="0" applyFont="1" applyFill="1" applyBorder="1" applyAlignment="1">
      <alignment wrapText="1"/>
    </xf>
    <xf numFmtId="0" fontId="24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wrapText="1"/>
    </xf>
    <xf numFmtId="0" fontId="7" fillId="3" borderId="5" xfId="0" applyFont="1" applyFill="1" applyBorder="1" applyAlignment="1">
      <alignment horizontal="left" wrapText="1"/>
    </xf>
    <xf numFmtId="0" fontId="18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2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2" fontId="16" fillId="0" borderId="6" xfId="0" applyNumberFormat="1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7" fillId="0" borderId="6" xfId="0" applyFont="1" applyBorder="1"/>
    <xf numFmtId="0" fontId="16" fillId="0" borderId="6" xfId="0" applyFont="1" applyBorder="1"/>
    <xf numFmtId="0" fontId="25" fillId="0" borderId="0" xfId="0" applyFont="1" applyAlignment="1">
      <alignment horizontal="left"/>
    </xf>
    <xf numFmtId="0" fontId="6" fillId="14" borderId="1" xfId="0" applyFont="1" applyFill="1" applyBorder="1" applyAlignment="1">
      <alignment wrapText="1"/>
    </xf>
    <xf numFmtId="0" fontId="11" fillId="15" borderId="0" xfId="0" applyFont="1" applyFill="1" applyAlignment="1">
      <alignment horizontal="left" wrapText="1"/>
    </xf>
    <xf numFmtId="0" fontId="6" fillId="7" borderId="2" xfId="0" applyFont="1" applyFill="1" applyBorder="1" applyAlignment="1">
      <alignment wrapText="1"/>
    </xf>
    <xf numFmtId="0" fontId="6" fillId="7" borderId="8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5" fillId="7" borderId="8" xfId="0" applyFont="1" applyFill="1" applyBorder="1" applyAlignment="1">
      <alignment wrapText="1"/>
    </xf>
    <xf numFmtId="0" fontId="5" fillId="3" borderId="2" xfId="0" applyFont="1" applyFill="1" applyBorder="1" applyAlignment="1">
      <alignment horizontal="left" wrapText="1"/>
    </xf>
    <xf numFmtId="0" fontId="5" fillId="0" borderId="0" xfId="0" applyFont="1" applyAlignment="1">
      <alignment horizontal="left"/>
    </xf>
    <xf numFmtId="0" fontId="26" fillId="0" borderId="0" xfId="0" applyFont="1"/>
    <xf numFmtId="0" fontId="5" fillId="16" borderId="3" xfId="0" applyFont="1" applyFill="1" applyBorder="1" applyAlignment="1">
      <alignment wrapText="1"/>
    </xf>
    <xf numFmtId="0" fontId="5" fillId="16" borderId="4" xfId="0" applyFont="1" applyFill="1" applyBorder="1" applyAlignment="1">
      <alignment wrapText="1"/>
    </xf>
    <xf numFmtId="0" fontId="6" fillId="17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5" fillId="14" borderId="2" xfId="0" applyFont="1" applyFill="1" applyBorder="1" applyAlignment="1">
      <alignment wrapText="1"/>
    </xf>
    <xf numFmtId="0" fontId="5" fillId="14" borderId="4" xfId="0" applyFont="1" applyFill="1" applyBorder="1" applyAlignment="1">
      <alignment wrapText="1"/>
    </xf>
    <xf numFmtId="0" fontId="5" fillId="14" borderId="3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5" borderId="9" xfId="0" applyFont="1" applyFill="1" applyBorder="1" applyAlignment="1">
      <alignment wrapText="1"/>
    </xf>
    <xf numFmtId="0" fontId="6" fillId="5" borderId="10" xfId="0" applyFont="1" applyFill="1" applyBorder="1" applyAlignment="1">
      <alignment wrapText="1"/>
    </xf>
    <xf numFmtId="0" fontId="0" fillId="0" borderId="11" xfId="0" applyBorder="1" applyAlignment="1">
      <alignment horizontal="left"/>
    </xf>
    <xf numFmtId="0" fontId="25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25" fillId="0" borderId="14" xfId="0" applyFont="1" applyBorder="1" applyAlignment="1">
      <alignment horizontal="left"/>
    </xf>
    <xf numFmtId="0" fontId="5" fillId="5" borderId="10" xfId="0" applyFont="1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4" xfId="0" applyBorder="1" applyAlignment="1">
      <alignment wrapText="1"/>
    </xf>
    <xf numFmtId="2" fontId="0" fillId="0" borderId="0" xfId="0" applyNumberFormat="1" applyAlignment="1">
      <alignment horizontal="left" wrapText="1"/>
    </xf>
    <xf numFmtId="2" fontId="0" fillId="0" borderId="0" xfId="0" applyNumberFormat="1" applyAlignment="1">
      <alignment wrapText="1"/>
    </xf>
    <xf numFmtId="167" fontId="1" fillId="0" borderId="0" xfId="0" applyNumberFormat="1" applyFont="1" applyAlignment="1">
      <alignment horizontal="left" wrapText="1"/>
    </xf>
    <xf numFmtId="168" fontId="0" fillId="0" borderId="0" xfId="0" applyNumberFormat="1" applyAlignment="1">
      <alignment horizontal="left" wrapText="1"/>
    </xf>
    <xf numFmtId="168" fontId="0" fillId="0" borderId="0" xfId="0" applyNumberFormat="1" applyAlignment="1">
      <alignment horizontal="left"/>
    </xf>
    <xf numFmtId="0" fontId="18" fillId="0" borderId="0" xfId="0" quotePrefix="1" applyFont="1" applyAlignment="1">
      <alignment vertical="center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24" fillId="18" borderId="1" xfId="0" applyFont="1" applyFill="1" applyBorder="1" applyAlignment="1">
      <alignment wrapText="1"/>
    </xf>
    <xf numFmtId="0" fontId="24" fillId="19" borderId="2" xfId="0" applyFont="1" applyFill="1" applyBorder="1" applyAlignment="1">
      <alignment wrapText="1"/>
    </xf>
    <xf numFmtId="0" fontId="24" fillId="19" borderId="4" xfId="0" applyFont="1" applyFill="1" applyBorder="1" applyAlignment="1">
      <alignment wrapText="1"/>
    </xf>
    <xf numFmtId="0" fontId="24" fillId="20" borderId="2" xfId="0" applyFont="1" applyFill="1" applyBorder="1" applyAlignment="1">
      <alignment wrapText="1"/>
    </xf>
    <xf numFmtId="0" fontId="24" fillId="20" borderId="8" xfId="0" applyFont="1" applyFill="1" applyBorder="1" applyAlignment="1">
      <alignment wrapText="1"/>
    </xf>
    <xf numFmtId="0" fontId="27" fillId="21" borderId="0" xfId="0" applyFont="1" applyFill="1" applyAlignment="1">
      <alignment horizontal="left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left" wrapText="1"/>
    </xf>
    <xf numFmtId="0" fontId="25" fillId="0" borderId="0" xfId="0" applyFont="1" applyAlignment="1">
      <alignment horizontal="left" wrapText="1"/>
    </xf>
    <xf numFmtId="0" fontId="28" fillId="0" borderId="0" xfId="0" applyFont="1" applyAlignment="1">
      <alignment wrapText="1"/>
    </xf>
    <xf numFmtId="0" fontId="24" fillId="22" borderId="1" xfId="0" applyFont="1" applyFill="1" applyBorder="1" applyAlignment="1">
      <alignment horizontal="left" wrapText="1"/>
    </xf>
    <xf numFmtId="0" fontId="24" fillId="22" borderId="2" xfId="0" applyFont="1" applyFill="1" applyBorder="1" applyAlignment="1">
      <alignment horizontal="left" wrapText="1"/>
    </xf>
    <xf numFmtId="0" fontId="18" fillId="19" borderId="2" xfId="0" applyFont="1" applyFill="1" applyBorder="1" applyAlignment="1">
      <alignment horizontal="left" wrapText="1"/>
    </xf>
    <xf numFmtId="0" fontId="18" fillId="19" borderId="4" xfId="0" applyFont="1" applyFill="1" applyBorder="1" applyAlignment="1">
      <alignment horizontal="left" wrapText="1"/>
    </xf>
    <xf numFmtId="0" fontId="24" fillId="23" borderId="1" xfId="0" applyFont="1" applyFill="1" applyBorder="1" applyAlignment="1">
      <alignment horizontal="left" wrapText="1"/>
    </xf>
    <xf numFmtId="0" fontId="24" fillId="24" borderId="2" xfId="0" applyFont="1" applyFill="1" applyBorder="1" applyAlignment="1">
      <alignment horizontal="left" wrapText="1"/>
    </xf>
    <xf numFmtId="0" fontId="24" fillId="24" borderId="3" xfId="0" applyFont="1" applyFill="1" applyBorder="1" applyAlignment="1">
      <alignment horizontal="left" wrapText="1"/>
    </xf>
    <xf numFmtId="0" fontId="24" fillId="24" borderId="4" xfId="0" applyFont="1" applyFill="1" applyBorder="1" applyAlignment="1">
      <alignment horizontal="left" wrapText="1"/>
    </xf>
    <xf numFmtId="0" fontId="24" fillId="19" borderId="2" xfId="0" applyFont="1" applyFill="1" applyBorder="1" applyAlignment="1">
      <alignment horizontal="left" wrapText="1"/>
    </xf>
    <xf numFmtId="0" fontId="24" fillId="19" borderId="3" xfId="0" applyFont="1" applyFill="1" applyBorder="1" applyAlignment="1">
      <alignment horizontal="left" wrapText="1"/>
    </xf>
    <xf numFmtId="0" fontId="24" fillId="19" borderId="4" xfId="0" applyFont="1" applyFill="1" applyBorder="1" applyAlignment="1">
      <alignment horizontal="left" wrapText="1"/>
    </xf>
    <xf numFmtId="0" fontId="7" fillId="19" borderId="5" xfId="0" applyFont="1" applyFill="1" applyBorder="1" applyAlignment="1">
      <alignment horizontal="left" wrapText="1"/>
    </xf>
    <xf numFmtId="0" fontId="7" fillId="19" borderId="3" xfId="0" applyFont="1" applyFill="1" applyBorder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4" fillId="0" borderId="0" xfId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0" fillId="0" borderId="6" xfId="0" applyFont="1" applyBorder="1" applyAlignment="1">
      <alignment horizontal="left" wrapText="1"/>
    </xf>
    <xf numFmtId="0" fontId="26" fillId="0" borderId="0" xfId="0" applyFont="1" applyAlignment="1">
      <alignment wrapText="1"/>
    </xf>
    <xf numFmtId="0" fontId="24" fillId="22" borderId="1" xfId="0" applyFont="1" applyFill="1" applyBorder="1" applyAlignment="1">
      <alignment wrapText="1"/>
    </xf>
    <xf numFmtId="0" fontId="24" fillId="22" borderId="2" xfId="0" applyFont="1" applyFill="1" applyBorder="1" applyAlignment="1">
      <alignment wrapText="1"/>
    </xf>
    <xf numFmtId="0" fontId="18" fillId="19" borderId="2" xfId="0" applyFont="1" applyFill="1" applyBorder="1" applyAlignment="1">
      <alignment wrapText="1"/>
    </xf>
    <xf numFmtId="0" fontId="18" fillId="19" borderId="4" xfId="0" applyFont="1" applyFill="1" applyBorder="1" applyAlignment="1">
      <alignment wrapText="1"/>
    </xf>
    <xf numFmtId="0" fontId="24" fillId="23" borderId="1" xfId="0" applyFont="1" applyFill="1" applyBorder="1" applyAlignment="1">
      <alignment wrapText="1"/>
    </xf>
    <xf numFmtId="0" fontId="24" fillId="23" borderId="2" xfId="0" applyFont="1" applyFill="1" applyBorder="1" applyAlignment="1">
      <alignment wrapText="1"/>
    </xf>
    <xf numFmtId="0" fontId="24" fillId="24" borderId="2" xfId="0" applyFont="1" applyFill="1" applyBorder="1" applyAlignment="1">
      <alignment wrapText="1"/>
    </xf>
    <xf numFmtId="0" fontId="24" fillId="24" borderId="3" xfId="0" applyFont="1" applyFill="1" applyBorder="1" applyAlignment="1">
      <alignment wrapText="1"/>
    </xf>
    <xf numFmtId="0" fontId="24" fillId="24" borderId="4" xfId="0" applyFont="1" applyFill="1" applyBorder="1" applyAlignment="1">
      <alignment wrapText="1"/>
    </xf>
    <xf numFmtId="0" fontId="24" fillId="25" borderId="2" xfId="0" applyFont="1" applyFill="1" applyBorder="1" applyAlignment="1">
      <alignment wrapText="1"/>
    </xf>
    <xf numFmtId="0" fontId="24" fillId="25" borderId="3" xfId="0" applyFont="1" applyFill="1" applyBorder="1" applyAlignment="1">
      <alignment wrapText="1"/>
    </xf>
    <xf numFmtId="0" fontId="24" fillId="25" borderId="4" xfId="0" applyFont="1" applyFill="1" applyBorder="1" applyAlignment="1">
      <alignment wrapText="1"/>
    </xf>
    <xf numFmtId="0" fontId="7" fillId="19" borderId="3" xfId="0" applyFont="1" applyFill="1" applyBorder="1" applyAlignment="1">
      <alignment wrapText="1"/>
    </xf>
    <xf numFmtId="0" fontId="24" fillId="19" borderId="3" xfId="0" applyFont="1" applyFill="1" applyBorder="1" applyAlignment="1">
      <alignment wrapText="1"/>
    </xf>
    <xf numFmtId="0" fontId="18" fillId="20" borderId="0" xfId="0" applyFont="1" applyFill="1" applyAlignment="1">
      <alignment horizontal="left" wrapText="1"/>
    </xf>
    <xf numFmtId="0" fontId="4" fillId="0" borderId="0" xfId="1" applyAlignment="1">
      <alignment horizontal="left"/>
    </xf>
    <xf numFmtId="0" fontId="18" fillId="20" borderId="0" xfId="0" applyFont="1" applyFill="1" applyAlignment="1">
      <alignment wrapText="1"/>
    </xf>
    <xf numFmtId="0" fontId="24" fillId="26" borderId="2" xfId="0" applyFont="1" applyFill="1" applyBorder="1" applyAlignment="1">
      <alignment wrapText="1"/>
    </xf>
    <xf numFmtId="0" fontId="24" fillId="25" borderId="9" xfId="0" applyFont="1" applyFill="1" applyBorder="1" applyAlignment="1">
      <alignment wrapText="1"/>
    </xf>
    <xf numFmtId="0" fontId="24" fillId="25" borderId="10" xfId="0" applyFont="1" applyFill="1" applyBorder="1" applyAlignment="1">
      <alignment wrapText="1"/>
    </xf>
    <xf numFmtId="0" fontId="24" fillId="27" borderId="3" xfId="0" applyFont="1" applyFill="1" applyBorder="1" applyAlignment="1">
      <alignment wrapText="1"/>
    </xf>
    <xf numFmtId="0" fontId="24" fillId="27" borderId="4" xfId="0" applyFont="1" applyFill="1" applyBorder="1" applyAlignment="1">
      <alignment wrapText="1"/>
    </xf>
    <xf numFmtId="0" fontId="24" fillId="18" borderId="2" xfId="0" applyFont="1" applyFill="1" applyBorder="1" applyAlignment="1">
      <alignment wrapText="1"/>
    </xf>
    <xf numFmtId="0" fontId="24" fillId="18" borderId="3" xfId="0" applyFont="1" applyFill="1" applyBorder="1" applyAlignment="1">
      <alignment wrapText="1"/>
    </xf>
    <xf numFmtId="0" fontId="24" fillId="18" borderId="4" xfId="0" applyFont="1" applyFill="1" applyBorder="1" applyAlignment="1">
      <alignment wrapText="1"/>
    </xf>
    <xf numFmtId="0" fontId="18" fillId="0" borderId="11" xfId="0" applyFont="1" applyBorder="1" applyAlignment="1">
      <alignment horizontal="left" wrapText="1"/>
    </xf>
    <xf numFmtId="0" fontId="25" fillId="0" borderId="12" xfId="0" applyFont="1" applyBorder="1" applyAlignment="1">
      <alignment horizontal="left"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horizontal="left" wrapText="1"/>
    </xf>
    <xf numFmtId="0" fontId="25" fillId="0" borderId="14" xfId="0" applyFont="1" applyBorder="1" applyAlignment="1">
      <alignment horizontal="left" wrapText="1"/>
    </xf>
    <xf numFmtId="0" fontId="18" fillId="0" borderId="14" xfId="0" applyFont="1" applyBorder="1" applyAlignment="1">
      <alignment wrapText="1"/>
    </xf>
    <xf numFmtId="0" fontId="24" fillId="28" borderId="2" xfId="0" applyFont="1" applyFill="1" applyBorder="1" applyAlignment="1">
      <alignment wrapText="1"/>
    </xf>
    <xf numFmtId="0" fontId="24" fillId="29" borderId="1" xfId="0" applyFont="1" applyFill="1" applyBorder="1" applyAlignment="1">
      <alignment wrapText="1"/>
    </xf>
    <xf numFmtId="0" fontId="24" fillId="29" borderId="2" xfId="0" applyFont="1" applyFill="1" applyBorder="1" applyAlignment="1">
      <alignment wrapText="1"/>
    </xf>
    <xf numFmtId="0" fontId="24" fillId="29" borderId="1" xfId="0" applyFont="1" applyFill="1" applyBorder="1" applyAlignment="1">
      <alignment horizontal="left" wrapText="1"/>
    </xf>
    <xf numFmtId="0" fontId="27" fillId="30" borderId="0" xfId="0" applyFont="1" applyFill="1" applyAlignment="1">
      <alignment horizontal="left" wrapText="1"/>
    </xf>
    <xf numFmtId="0" fontId="25" fillId="0" borderId="0" xfId="0" applyFont="1" applyAlignment="1">
      <alignment wrapText="1"/>
    </xf>
    <xf numFmtId="0" fontId="4" fillId="0" borderId="0" xfId="1" applyAlignment="1">
      <alignment wrapText="1"/>
    </xf>
    <xf numFmtId="0" fontId="24" fillId="31" borderId="0" xfId="0" applyFont="1" applyFill="1" applyAlignment="1">
      <alignment wrapText="1"/>
    </xf>
    <xf numFmtId="0" fontId="24" fillId="32" borderId="7" xfId="0" applyFont="1" applyFill="1" applyBorder="1" applyAlignment="1">
      <alignment wrapText="1"/>
    </xf>
    <xf numFmtId="0" fontId="8" fillId="0" borderId="0" xfId="0" applyFont="1" applyAlignment="1">
      <alignment vertical="center" wrapText="1"/>
    </xf>
    <xf numFmtId="0" fontId="24" fillId="24" borderId="0" xfId="0" applyFont="1" applyFill="1" applyAlignment="1">
      <alignment horizontal="left" wrapText="1"/>
    </xf>
    <xf numFmtId="0" fontId="18" fillId="33" borderId="0" xfId="0" applyFont="1" applyFill="1" applyAlignment="1">
      <alignment horizontal="left" wrapText="1"/>
    </xf>
    <xf numFmtId="0" fontId="24" fillId="22" borderId="0" xfId="0" applyFont="1" applyFill="1" applyAlignment="1">
      <alignment wrapText="1"/>
    </xf>
    <xf numFmtId="9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left" wrapText="1"/>
    </xf>
    <xf numFmtId="0" fontId="4" fillId="0" borderId="0" xfId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8" fillId="20" borderId="0" xfId="0" applyFont="1" applyFill="1" applyAlignment="1">
      <alignment wrapText="1"/>
    </xf>
    <xf numFmtId="0" fontId="18" fillId="0" borderId="0" xfId="0" applyFont="1" applyAlignment="1">
      <alignment vertical="center" wrapText="1"/>
    </xf>
  </cellXfs>
  <cellStyles count="3">
    <cellStyle name="Hyperlink" xfId="1" builtinId="8"/>
    <cellStyle name="Normal" xfId="0" builtinId="0"/>
    <cellStyle name="Note" xfId="2" builtinId="10"/>
  </cellStyles>
  <dxfs count="0"/>
  <tableStyles count="0" defaultTableStyle="TableStyleMedium2" defaultPivotStyle="PivotStyleLight16"/>
  <colors>
    <mruColors>
      <color rgb="FFFCB7A2"/>
      <color rgb="FFE565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95EAC8-1B5A-4A40-A5ED-A57135266878}">
  <we:reference id="WA200005271" version="3.0.0.4" store="Omex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1723635638241--stratavar.vf.force.com/a8Fbn000001CRgbEAG" TargetMode="External"/><Relationship Id="rId1" Type="http://schemas.openxmlformats.org/officeDocument/2006/relationships/hyperlink" Target="https://st1723635638241--stratavar.vf.force.com/a8Fbn000001CRgbEAG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st1723635638241--stratavar.vf.force.com/a8Fbn000001CRgbEAG" TargetMode="External"/><Relationship Id="rId1" Type="http://schemas.openxmlformats.org/officeDocument/2006/relationships/hyperlink" Target="https://st1723635638241--stratavar.vf.force.com/a8Fbn000001CRgbEAG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st1723635638241--stratavar.vf.force.com/a8Fbn000001CRgbEA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dtusa--intqa--stratavar.sandbox.vf.force.com/a06WD00000AYVIAYA5" TargetMode="External"/><Relationship Id="rId1" Type="http://schemas.openxmlformats.org/officeDocument/2006/relationships/hyperlink" Target="https://gdtusa--intqa--stratavar.sandbox.vf.force.com/a06WD00000AYVIAYA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st1723635638241--stratavar.vf.force.com/a8Fbn000001CRgbEAG" TargetMode="External"/><Relationship Id="rId1" Type="http://schemas.openxmlformats.org/officeDocument/2006/relationships/hyperlink" Target="https://st1723635638241--stratavar.vf.force.com/a8Fbn000001CRgbEAG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st1723635638241--stratavar.vf.force.com/a8Fbn000001CRgbEAG" TargetMode="External"/><Relationship Id="rId1" Type="http://schemas.openxmlformats.org/officeDocument/2006/relationships/hyperlink" Target="https://st1723635638241--stratavar.vf.force.com/a8Fbn000001CRgbEA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st1723635638241--stratavar.vf.force.com/a8Fbn000001CRgbEAG" TargetMode="External"/><Relationship Id="rId2" Type="http://schemas.openxmlformats.org/officeDocument/2006/relationships/hyperlink" Target="https://st1723635638241--stratavar.vf.force.com/a8Fbn000001CRgbEAG" TargetMode="External"/><Relationship Id="rId1" Type="http://schemas.openxmlformats.org/officeDocument/2006/relationships/hyperlink" Target="https://st1723635638241--stratavar.vf.force.com/a8Fbn000001CRgbEAG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st1723635638241--stratavar.vf.force.com/a8Fbn000001CRgbEAG" TargetMode="External"/><Relationship Id="rId2" Type="http://schemas.openxmlformats.org/officeDocument/2006/relationships/hyperlink" Target="https://st1723635638241--stratavar.vf.force.com/a8Fbn000001CRgbEAG" TargetMode="External"/><Relationship Id="rId1" Type="http://schemas.openxmlformats.org/officeDocument/2006/relationships/hyperlink" Target="https://st1723635638241--stratavar.vf.force.com/a8Fbn000001CRgbEAG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st1723635638241--stratavar.vf.force.com/a8Fbn000001CRgbEAG" TargetMode="External"/><Relationship Id="rId2" Type="http://schemas.openxmlformats.org/officeDocument/2006/relationships/hyperlink" Target="https://st1723635638241--stratavar.vf.force.com/a8Fbn000001CRgbEAG" TargetMode="External"/><Relationship Id="rId1" Type="http://schemas.openxmlformats.org/officeDocument/2006/relationships/hyperlink" Target="https://st1723635638241--stratavar.vf.force.com/a8Fbn000001CRgbEAG" TargetMode="External"/><Relationship Id="rId4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st1723635638241--stratavar.vf.force.com/a8Fbn000001CRgbEAG" TargetMode="External"/><Relationship Id="rId2" Type="http://schemas.openxmlformats.org/officeDocument/2006/relationships/hyperlink" Target="https://st1723635638241--stratavar.vf.force.com/a8Fbn000001CRgbEAG" TargetMode="External"/><Relationship Id="rId1" Type="http://schemas.openxmlformats.org/officeDocument/2006/relationships/hyperlink" Target="https://st1723635638241--stratavar.vf.force.com/a8Fbn000001CRgbEAG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gdtusa--intqa--stratavar.sandbox.vf.force.com/a06WD00000AYVIAYA5" TargetMode="External"/><Relationship Id="rId2" Type="http://schemas.openxmlformats.org/officeDocument/2006/relationships/hyperlink" Target="https://gdtusa--intqa--stratavar.sandbox.vf.force.com/a06WD00000AYVIAYA5" TargetMode="External"/><Relationship Id="rId1" Type="http://schemas.openxmlformats.org/officeDocument/2006/relationships/hyperlink" Target="https://gdtusa--intqa--stratavar.sandbox.vf.force.com/a06WD00000AYVIAYA5" TargetMode="External"/><Relationship Id="rId4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gdtusa--intqa--stratavar.sandbox.vf.force.com/a06WD00000FOWqwYAH" TargetMode="External"/><Relationship Id="rId2" Type="http://schemas.openxmlformats.org/officeDocument/2006/relationships/hyperlink" Target="https://gdtusa--intqa--stratavar.sandbox.vf.force.com/a06WD00000FOWqwYAH" TargetMode="External"/><Relationship Id="rId1" Type="http://schemas.openxmlformats.org/officeDocument/2006/relationships/hyperlink" Target="https://gdtusa--intqa--stratavar.sandbox.vf.force.com/a06WD00000FOWqwYAH" TargetMode="External"/><Relationship Id="rId6" Type="http://schemas.openxmlformats.org/officeDocument/2006/relationships/hyperlink" Target="https://gdtusa--intqa--stratavar.sandbox.vf.force.com/a06WD00000FOWqwYAH" TargetMode="External"/><Relationship Id="rId5" Type="http://schemas.openxmlformats.org/officeDocument/2006/relationships/hyperlink" Target="https://gdtusa--intqa--stratavar.sandbox.vf.force.com/a06WD00000FOWqwYAH" TargetMode="External"/><Relationship Id="rId4" Type="http://schemas.openxmlformats.org/officeDocument/2006/relationships/hyperlink" Target="https://gdtusa--intqa--stratavar.sandbox.vf.force.com/a06WD00000FOWqwYAH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gdtusa--intqa--stratavar.sandbox.vf.force.com/a06WD00000FOWqwYAH" TargetMode="External"/><Relationship Id="rId2" Type="http://schemas.openxmlformats.org/officeDocument/2006/relationships/hyperlink" Target="https://gdtusa--intqa--stratavar.sandbox.vf.force.com/a06WD00000FOWqwYAH" TargetMode="External"/><Relationship Id="rId1" Type="http://schemas.openxmlformats.org/officeDocument/2006/relationships/hyperlink" Target="https://gdtusa--intqa--stratavar.sandbox.vf.force.com/a06WD00000FOWqwYAH" TargetMode="External"/><Relationship Id="rId6" Type="http://schemas.openxmlformats.org/officeDocument/2006/relationships/hyperlink" Target="https://gdtusa--intqa--stratavar.sandbox.vf.force.com/a06WD00000FOWqwYAH" TargetMode="External"/><Relationship Id="rId5" Type="http://schemas.openxmlformats.org/officeDocument/2006/relationships/hyperlink" Target="https://gdtusa--intqa--stratavar.sandbox.vf.force.com/a06WD00000FOWqwYAH" TargetMode="External"/><Relationship Id="rId4" Type="http://schemas.openxmlformats.org/officeDocument/2006/relationships/hyperlink" Target="https://gdtusa--intqa--stratavar.sandbox.vf.force.com/a06WD00000FOWqwYAH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https://gdtusa--intqa--stratavar.sandbox.vf.force.com/a06WD00000FOWqwYAH" TargetMode="External"/><Relationship Id="rId2" Type="http://schemas.openxmlformats.org/officeDocument/2006/relationships/hyperlink" Target="https://gdtusa--intqa--stratavar.sandbox.vf.force.com/a06WD00000FOWqwYAH" TargetMode="External"/><Relationship Id="rId1" Type="http://schemas.openxmlformats.org/officeDocument/2006/relationships/hyperlink" Target="https://gdtusa--intqa--stratavar.sandbox.vf.force.com/a06WD00000FOWqwYAH" TargetMode="External"/><Relationship Id="rId4" Type="http://schemas.openxmlformats.org/officeDocument/2006/relationships/printerSettings" Target="../printerSettings/printerSettings9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https://gdtusa--intqa--stratavar.sandbox.vf.force.com/a06WD00000FOWqwYAH" TargetMode="External"/><Relationship Id="rId2" Type="http://schemas.openxmlformats.org/officeDocument/2006/relationships/hyperlink" Target="https://gdtusa--intqa--stratavar.sandbox.vf.force.com/a06WD00000FOWqwYAH" TargetMode="External"/><Relationship Id="rId1" Type="http://schemas.openxmlformats.org/officeDocument/2006/relationships/hyperlink" Target="https://gdtusa--intqa--stratavar.sandbox.vf.force.com/a06WD00000FOWqwYAH" TargetMode="External"/><Relationship Id="rId6" Type="http://schemas.openxmlformats.org/officeDocument/2006/relationships/hyperlink" Target="https://gdtusa--intqa--stratavar.sandbox.vf.force.com/a06WD00000FOWqwYAH" TargetMode="External"/><Relationship Id="rId5" Type="http://schemas.openxmlformats.org/officeDocument/2006/relationships/hyperlink" Target="https://gdtusa--intqa--stratavar.sandbox.vf.force.com/a06WD00000FOWqwYAH" TargetMode="External"/><Relationship Id="rId4" Type="http://schemas.openxmlformats.org/officeDocument/2006/relationships/hyperlink" Target="https://gdtusa--intqa--stratavar.sandbox.vf.force.com/a06WD00000FOWqwYAH" TargetMode="Externa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hyperlink" Target="https://gdtusa--intqa--stratavar.sandbox.vf.force.com/a06WD00000FOWqwYAH" TargetMode="External"/><Relationship Id="rId2" Type="http://schemas.openxmlformats.org/officeDocument/2006/relationships/hyperlink" Target="https://gdtusa--intqa--stratavar.sandbox.vf.force.com/a06WD00000FOWqwYAH" TargetMode="External"/><Relationship Id="rId1" Type="http://schemas.openxmlformats.org/officeDocument/2006/relationships/hyperlink" Target="https://gdtusa--intqa--stratavar.sandbox.vf.force.com/a06WD00000FOWqwYAH" TargetMode="External"/><Relationship Id="rId6" Type="http://schemas.openxmlformats.org/officeDocument/2006/relationships/hyperlink" Target="https://gdtusa--intqa--stratavar.sandbox.vf.force.com/a06WD00000FOWqwYAH" TargetMode="External"/><Relationship Id="rId5" Type="http://schemas.openxmlformats.org/officeDocument/2006/relationships/hyperlink" Target="https://gdtusa--intqa--stratavar.sandbox.vf.force.com/a06WD00000FOWqwYAH" TargetMode="External"/><Relationship Id="rId4" Type="http://schemas.openxmlformats.org/officeDocument/2006/relationships/hyperlink" Target="https://gdtusa--intqa--stratavar.sandbox.vf.force.com/a06WD00000FOWqwYAH" TargetMode="Externa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hyperlink" Target="https://st1723635638241--stratavar.vf.force.com/a8Fbn000001CRgbEAG" TargetMode="External"/><Relationship Id="rId1" Type="http://schemas.openxmlformats.org/officeDocument/2006/relationships/hyperlink" Target="https://st1723635638241--stratavar.vf.force.com/a8Fbn000001CRgbE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2493-B413-430F-A45D-F7EA25EFF177}">
  <dimension ref="A1:Z11"/>
  <sheetViews>
    <sheetView zoomScale="107" zoomScaleNormal="100" workbookViewId="0">
      <selection activeCell="C5" sqref="C5"/>
    </sheetView>
  </sheetViews>
  <sheetFormatPr defaultColWidth="21.5546875" defaultRowHeight="14.4" x14ac:dyDescent="0.3"/>
  <cols>
    <col min="1" max="1" width="16" style="29" customWidth="1"/>
    <col min="2" max="6" width="21.5546875" style="29"/>
    <col min="7" max="7" width="17" style="29" customWidth="1"/>
    <col min="8" max="8" width="18" style="29" customWidth="1"/>
    <col min="9" max="10" width="13.5546875" style="29" customWidth="1"/>
    <col min="11" max="11" width="21.5546875" style="85"/>
    <col min="12" max="12" width="21.5546875" style="29"/>
    <col min="13" max="13" width="13.5546875" style="29" customWidth="1"/>
    <col min="14" max="14" width="12.44140625" style="29" customWidth="1"/>
    <col min="15" max="15" width="11.6640625" style="29" customWidth="1"/>
    <col min="16" max="16" width="13" style="29" customWidth="1"/>
    <col min="17" max="18" width="21.5546875" style="29"/>
    <col min="19" max="19" width="13.5546875" style="29" customWidth="1"/>
    <col min="20" max="16384" width="21.5546875" style="29"/>
  </cols>
  <sheetData>
    <row r="1" spans="1:26" s="28" customFormat="1" ht="43.8" thickBot="1" x14ac:dyDescent="0.35">
      <c r="A1" s="17" t="s">
        <v>22</v>
      </c>
      <c r="B1" s="86" t="s">
        <v>62</v>
      </c>
      <c r="C1" s="18" t="s">
        <v>17</v>
      </c>
      <c r="D1" s="19" t="s">
        <v>41</v>
      </c>
      <c r="E1" s="20" t="s">
        <v>21</v>
      </c>
      <c r="F1" s="21" t="s">
        <v>27</v>
      </c>
      <c r="G1" s="22" t="s">
        <v>29</v>
      </c>
      <c r="H1" s="23" t="s">
        <v>28</v>
      </c>
      <c r="I1" s="24" t="s">
        <v>14</v>
      </c>
      <c r="J1" s="25" t="s">
        <v>590</v>
      </c>
      <c r="K1" s="25" t="s">
        <v>15</v>
      </c>
      <c r="L1" s="26" t="s">
        <v>16</v>
      </c>
      <c r="M1" s="104" t="s">
        <v>12</v>
      </c>
      <c r="N1" s="87" t="s">
        <v>107</v>
      </c>
      <c r="O1" s="27" t="s">
        <v>11</v>
      </c>
      <c r="P1" s="27" t="s">
        <v>10</v>
      </c>
      <c r="Q1" s="25" t="s">
        <v>0</v>
      </c>
      <c r="R1" s="25" t="s">
        <v>1</v>
      </c>
      <c r="S1" s="25" t="s">
        <v>2</v>
      </c>
      <c r="T1" s="25" t="s">
        <v>3</v>
      </c>
      <c r="U1" s="25" t="s">
        <v>4</v>
      </c>
      <c r="V1" s="25" t="s">
        <v>5</v>
      </c>
      <c r="W1" s="25" t="s">
        <v>6</v>
      </c>
      <c r="X1" s="25" t="s">
        <v>7</v>
      </c>
      <c r="Y1" s="25" t="s">
        <v>8</v>
      </c>
      <c r="Z1" s="26" t="s">
        <v>9</v>
      </c>
    </row>
    <row r="2" spans="1:26" x14ac:dyDescent="0.3">
      <c r="A2" s="29" t="s">
        <v>561</v>
      </c>
      <c r="B2" s="40" t="s">
        <v>686</v>
      </c>
      <c r="C2" s="29" t="s">
        <v>18</v>
      </c>
      <c r="D2" s="30" t="s">
        <v>13</v>
      </c>
      <c r="E2" s="29" t="s">
        <v>30</v>
      </c>
      <c r="F2" s="31" t="s">
        <v>31</v>
      </c>
      <c r="G2" s="32" t="s">
        <v>65</v>
      </c>
      <c r="H2" s="29" t="s">
        <v>61</v>
      </c>
      <c r="I2" s="29">
        <v>0</v>
      </c>
      <c r="J2" s="29">
        <v>1</v>
      </c>
      <c r="K2" s="105" t="s">
        <v>39</v>
      </c>
      <c r="L2" s="29">
        <v>50</v>
      </c>
      <c r="M2" s="29">
        <v>6250</v>
      </c>
      <c r="O2" s="29">
        <v>1</v>
      </c>
      <c r="P2" s="29">
        <f>O2*M2</f>
        <v>6250</v>
      </c>
      <c r="Q2" s="33">
        <v>50</v>
      </c>
      <c r="R2" s="34">
        <f>M2*(1-Q2/100)</f>
        <v>3125</v>
      </c>
      <c r="S2" s="34">
        <f>R2*O2</f>
        <v>3125</v>
      </c>
      <c r="T2" s="34">
        <v>60</v>
      </c>
      <c r="U2" s="34">
        <v>150</v>
      </c>
      <c r="V2" s="34">
        <v>4687.5</v>
      </c>
      <c r="W2" s="34">
        <v>4687.5</v>
      </c>
      <c r="X2" s="34">
        <v>-25</v>
      </c>
      <c r="Y2" s="34">
        <v>7812.5</v>
      </c>
      <c r="Z2" s="34">
        <f>Y2*O2</f>
        <v>7812.5</v>
      </c>
    </row>
    <row r="3" spans="1:26" x14ac:dyDescent="0.3">
      <c r="A3" s="29" t="s">
        <v>562</v>
      </c>
      <c r="B3" s="40" t="s">
        <v>677</v>
      </c>
      <c r="C3" s="29" t="s">
        <v>18</v>
      </c>
      <c r="D3" s="30" t="s">
        <v>13</v>
      </c>
      <c r="E3" s="29" t="s">
        <v>30</v>
      </c>
      <c r="F3" s="31" t="s">
        <v>31</v>
      </c>
      <c r="G3" s="32" t="s">
        <v>65</v>
      </c>
      <c r="H3" s="29" t="s">
        <v>60</v>
      </c>
      <c r="I3" s="29">
        <v>0</v>
      </c>
      <c r="J3" s="29">
        <v>13</v>
      </c>
      <c r="K3" s="105" t="s">
        <v>39</v>
      </c>
      <c r="L3" s="29">
        <v>60</v>
      </c>
      <c r="M3" s="29">
        <v>36438.33</v>
      </c>
      <c r="N3" s="29">
        <v>1</v>
      </c>
      <c r="O3" s="29">
        <v>12</v>
      </c>
      <c r="P3" s="29">
        <f>O3*M3</f>
        <v>437259.96</v>
      </c>
      <c r="Q3" s="33">
        <v>60</v>
      </c>
      <c r="R3" s="34">
        <f t="shared" ref="R3" si="0">ROUND(M3*(1-Q3/100),2)</f>
        <v>14575.33</v>
      </c>
      <c r="S3" s="34">
        <f>R3*O3</f>
        <v>174903.96</v>
      </c>
      <c r="T3" s="34">
        <v>62</v>
      </c>
      <c r="U3" s="34">
        <v>163.15795251290999</v>
      </c>
      <c r="V3" s="34">
        <v>23780.81</v>
      </c>
      <c r="W3" s="34">
        <v>285369.71999999997</v>
      </c>
      <c r="X3" s="34">
        <v>-5.2631665611459102</v>
      </c>
      <c r="Y3" s="34">
        <f>ROUND(Z3/12,2)</f>
        <v>38356.14</v>
      </c>
      <c r="Z3" s="34">
        <f>ROUND((P3*(1-(X3%))),2)</f>
        <v>460273.68</v>
      </c>
    </row>
    <row r="4" spans="1:26" x14ac:dyDescent="0.3">
      <c r="A4" s="29" t="s">
        <v>563</v>
      </c>
      <c r="B4" s="40" t="s">
        <v>678</v>
      </c>
      <c r="C4" s="29" t="s">
        <v>18</v>
      </c>
      <c r="D4" s="30" t="s">
        <v>13</v>
      </c>
      <c r="E4" s="29" t="s">
        <v>30</v>
      </c>
      <c r="F4" s="31" t="s">
        <v>31</v>
      </c>
      <c r="G4" s="32" t="s">
        <v>65</v>
      </c>
      <c r="H4" s="29" t="s">
        <v>115</v>
      </c>
      <c r="I4" s="29">
        <v>0</v>
      </c>
      <c r="J4" s="29">
        <v>0</v>
      </c>
      <c r="K4" s="105" t="s">
        <v>51</v>
      </c>
      <c r="L4" s="29">
        <v>8.9</v>
      </c>
      <c r="M4" s="29">
        <v>55275</v>
      </c>
      <c r="O4" s="36">
        <v>1</v>
      </c>
      <c r="P4" s="29">
        <f>O4*M4</f>
        <v>55275</v>
      </c>
      <c r="Q4" s="34">
        <v>0</v>
      </c>
      <c r="R4" s="34">
        <f>M4*(1-Q4/100)</f>
        <v>55275</v>
      </c>
      <c r="S4" s="34">
        <f>R4*O4</f>
        <v>55275</v>
      </c>
      <c r="T4" s="33">
        <v>8.9</v>
      </c>
      <c r="U4" s="34">
        <v>9.7694798733604706</v>
      </c>
      <c r="V4" s="34">
        <v>5400.08</v>
      </c>
      <c r="W4" s="34">
        <v>5400.08</v>
      </c>
      <c r="X4" s="34">
        <v>-9.7694798733604706</v>
      </c>
      <c r="Y4" s="34">
        <f>M4*(1-X4/100)</f>
        <v>60675.08</v>
      </c>
      <c r="Z4" s="34">
        <v>60675.08</v>
      </c>
    </row>
    <row r="5" spans="1:26" x14ac:dyDescent="0.3">
      <c r="A5" s="29" t="s">
        <v>582</v>
      </c>
      <c r="B5" s="40" t="s">
        <v>682</v>
      </c>
      <c r="C5" s="29" t="s">
        <v>18</v>
      </c>
      <c r="D5" s="30" t="s">
        <v>13</v>
      </c>
      <c r="E5" s="29" t="s">
        <v>30</v>
      </c>
      <c r="F5" s="31" t="s">
        <v>31</v>
      </c>
      <c r="G5" s="32" t="s">
        <v>65</v>
      </c>
      <c r="H5" s="29" t="s">
        <v>61</v>
      </c>
      <c r="I5" s="29">
        <v>1</v>
      </c>
      <c r="J5" s="29">
        <v>21</v>
      </c>
      <c r="K5" s="105" t="s">
        <v>46</v>
      </c>
      <c r="L5" s="29">
        <v>8532.8700000000008</v>
      </c>
      <c r="M5" s="33">
        <v>8532.8700000000008</v>
      </c>
      <c r="N5" s="35"/>
      <c r="O5" s="34">
        <v>16</v>
      </c>
      <c r="P5" s="34">
        <f t="shared" ref="P5" si="1">ROUND(O5*M5, 2)</f>
        <v>136525.92000000001</v>
      </c>
      <c r="Q5" s="90">
        <v>0</v>
      </c>
      <c r="R5" s="34">
        <f t="shared" ref="R5" si="2">IFERROR(ROUND(M5*(1-Q5), 2), 0)</f>
        <v>8532.8700000000008</v>
      </c>
      <c r="S5" s="34">
        <f>IFERROR(R5*O5, 0)</f>
        <v>136525.92000000001</v>
      </c>
      <c r="T5" s="92">
        <v>20.000018751013702</v>
      </c>
      <c r="U5" s="92">
        <v>25.000029298465801</v>
      </c>
      <c r="V5" s="34">
        <v>2133.2199999999998</v>
      </c>
      <c r="W5" s="34">
        <f t="shared" ref="W5" si="3">ROUND(V5*O5, 2)</f>
        <v>34131.519999999997</v>
      </c>
      <c r="X5" s="91">
        <v>-25.000005768062501</v>
      </c>
      <c r="Y5" s="34">
        <v>10666.09</v>
      </c>
      <c r="Z5" s="34">
        <f t="shared" ref="Z5" si="4">IFERROR(ROUND(Y5*O5, 2), 0)</f>
        <v>170657.44</v>
      </c>
    </row>
    <row r="6" spans="1:26" x14ac:dyDescent="0.3">
      <c r="A6" s="88" t="s">
        <v>583</v>
      </c>
      <c r="B6" s="40" t="s">
        <v>679</v>
      </c>
      <c r="C6" s="29" t="s">
        <v>18</v>
      </c>
      <c r="D6" s="29" t="s">
        <v>130</v>
      </c>
      <c r="E6" s="29" t="s">
        <v>30</v>
      </c>
      <c r="F6" s="88" t="s">
        <v>33</v>
      </c>
      <c r="G6" s="32" t="s">
        <v>43</v>
      </c>
      <c r="H6" s="88" t="s">
        <v>133</v>
      </c>
      <c r="I6" s="29">
        <v>0</v>
      </c>
      <c r="J6" s="29">
        <v>5</v>
      </c>
      <c r="K6" s="105" t="s">
        <v>55</v>
      </c>
      <c r="L6" s="29">
        <v>12.25</v>
      </c>
      <c r="M6" s="34">
        <v>70</v>
      </c>
      <c r="N6" s="34">
        <v>36</v>
      </c>
      <c r="O6" s="34">
        <v>72</v>
      </c>
      <c r="P6" s="34">
        <v>181440</v>
      </c>
      <c r="Q6" s="93">
        <v>59</v>
      </c>
      <c r="R6" s="34">
        <v>1033.2</v>
      </c>
      <c r="S6" s="34">
        <f>R6*O6</f>
        <v>74390.400000000009</v>
      </c>
      <c r="T6" s="91">
        <v>53.276353276353198</v>
      </c>
      <c r="U6" s="93">
        <v>114.024390243902</v>
      </c>
      <c r="V6" s="29">
        <v>1178.0999999999999</v>
      </c>
      <c r="W6" s="29">
        <f>ROUND(V6*O6, 2)</f>
        <v>84823.2</v>
      </c>
      <c r="X6" s="35">
        <v>12.25</v>
      </c>
      <c r="Y6" s="29">
        <v>2211.3000000000002</v>
      </c>
      <c r="Z6" s="29">
        <f>Y6*O6</f>
        <v>159213.6</v>
      </c>
    </row>
    <row r="7" spans="1:26" x14ac:dyDescent="0.3">
      <c r="A7" s="88" t="s">
        <v>584</v>
      </c>
      <c r="B7" s="40" t="s">
        <v>680</v>
      </c>
      <c r="C7" s="29" t="s">
        <v>18</v>
      </c>
      <c r="D7" s="29" t="s">
        <v>130</v>
      </c>
      <c r="E7" s="29" t="s">
        <v>30</v>
      </c>
      <c r="F7" s="88" t="s">
        <v>33</v>
      </c>
      <c r="G7" s="32" t="s">
        <v>43</v>
      </c>
      <c r="H7" s="88" t="s">
        <v>133</v>
      </c>
      <c r="I7" s="29">
        <v>0</v>
      </c>
      <c r="J7" s="29">
        <v>5</v>
      </c>
      <c r="K7" s="105" t="s">
        <v>56</v>
      </c>
      <c r="L7" s="29">
        <v>1299.98</v>
      </c>
      <c r="M7" s="34">
        <v>70</v>
      </c>
      <c r="N7" s="34">
        <v>36</v>
      </c>
      <c r="O7" s="34">
        <v>72</v>
      </c>
      <c r="P7" s="34">
        <v>181440</v>
      </c>
      <c r="Q7" s="94">
        <v>59</v>
      </c>
      <c r="R7" s="34">
        <v>1033.2</v>
      </c>
      <c r="S7" s="34">
        <f>R7*O7</f>
        <v>74390.400000000009</v>
      </c>
      <c r="T7" s="93">
        <v>20.521854182372</v>
      </c>
      <c r="U7" s="93">
        <v>25.8207510646535</v>
      </c>
      <c r="V7" s="29">
        <v>266.77999999999997</v>
      </c>
      <c r="W7" s="29">
        <f t="shared" ref="W7:W11" si="5">ROUND(V7*O7, 2)</f>
        <v>19208.16</v>
      </c>
      <c r="X7" s="91">
        <v>48.413492063492001</v>
      </c>
      <c r="Y7" s="35">
        <v>1299.98</v>
      </c>
      <c r="Z7" s="29">
        <f t="shared" ref="Z7:Z9" si="6">IFERROR(ROUND(Y7*O7, 2), 0)</f>
        <v>93598.56</v>
      </c>
    </row>
    <row r="8" spans="1:26" x14ac:dyDescent="0.3">
      <c r="A8" s="29" t="s">
        <v>585</v>
      </c>
      <c r="B8" s="40" t="s">
        <v>681</v>
      </c>
      <c r="C8" s="29" t="s">
        <v>18</v>
      </c>
      <c r="D8" s="29" t="s">
        <v>130</v>
      </c>
      <c r="E8" s="29" t="s">
        <v>30</v>
      </c>
      <c r="F8" s="29" t="s">
        <v>33</v>
      </c>
      <c r="G8" s="32" t="s">
        <v>43</v>
      </c>
      <c r="H8" s="29" t="s">
        <v>133</v>
      </c>
      <c r="I8" s="29">
        <v>0</v>
      </c>
      <c r="J8" s="29">
        <v>5</v>
      </c>
      <c r="K8" s="105" t="s">
        <v>135</v>
      </c>
      <c r="L8" s="29">
        <v>72.739999999999995</v>
      </c>
      <c r="M8" s="90">
        <v>70</v>
      </c>
      <c r="N8" s="35">
        <v>72.739999999999995</v>
      </c>
      <c r="O8" s="90">
        <v>72</v>
      </c>
      <c r="P8" s="34">
        <v>366609.6</v>
      </c>
      <c r="Q8" s="91">
        <v>59</v>
      </c>
      <c r="R8" s="34">
        <v>2087.64</v>
      </c>
      <c r="S8" s="34">
        <f>IFERROR(ROUND(R8*O8, 2), 0)</f>
        <v>150310.07999999999</v>
      </c>
      <c r="T8" s="93">
        <v>4.99845277317654</v>
      </c>
      <c r="U8" s="93">
        <v>5.2614435439060303</v>
      </c>
      <c r="V8" s="29">
        <v>109.84</v>
      </c>
      <c r="W8" s="29">
        <f t="shared" si="5"/>
        <v>7908.48</v>
      </c>
      <c r="X8" s="91">
        <v>56.842857142857099</v>
      </c>
      <c r="Y8" s="29">
        <v>2197.48</v>
      </c>
      <c r="Z8" s="29">
        <f t="shared" si="6"/>
        <v>158218.56</v>
      </c>
    </row>
    <row r="9" spans="1:26" x14ac:dyDescent="0.3">
      <c r="A9" s="29" t="s">
        <v>586</v>
      </c>
      <c r="B9" s="40" t="s">
        <v>683</v>
      </c>
      <c r="C9" s="29" t="s">
        <v>18</v>
      </c>
      <c r="D9" s="29" t="s">
        <v>110</v>
      </c>
      <c r="E9" s="29" t="s">
        <v>30</v>
      </c>
      <c r="F9" s="29" t="s">
        <v>33</v>
      </c>
      <c r="G9" s="32" t="s">
        <v>43</v>
      </c>
      <c r="H9" s="29" t="s">
        <v>173</v>
      </c>
      <c r="I9" s="29">
        <v>0</v>
      </c>
      <c r="J9" s="29">
        <v>0</v>
      </c>
      <c r="K9" s="106" t="s">
        <v>49</v>
      </c>
      <c r="L9" s="29">
        <v>369.96</v>
      </c>
      <c r="M9" s="90">
        <v>1225.1400000000001</v>
      </c>
      <c r="N9" s="91"/>
      <c r="O9" s="90">
        <v>5</v>
      </c>
      <c r="P9" s="34">
        <v>6125.7</v>
      </c>
      <c r="Q9" s="94">
        <v>69.8026348009207</v>
      </c>
      <c r="R9" s="33">
        <v>369.96</v>
      </c>
      <c r="S9" s="34">
        <v>1849.8</v>
      </c>
      <c r="T9" s="93">
        <v>21.610340078398099</v>
      </c>
      <c r="U9" s="91">
        <v>27.567845172451001</v>
      </c>
      <c r="V9" s="29">
        <v>101.99</v>
      </c>
      <c r="W9" s="29">
        <f t="shared" si="5"/>
        <v>509.95</v>
      </c>
      <c r="X9" s="93">
        <v>61.4778719166789</v>
      </c>
      <c r="Y9" s="29">
        <v>471.95</v>
      </c>
      <c r="Z9" s="29">
        <f t="shared" si="6"/>
        <v>2359.75</v>
      </c>
    </row>
    <row r="10" spans="1:26" x14ac:dyDescent="0.3">
      <c r="A10" s="88" t="s">
        <v>587</v>
      </c>
      <c r="B10" s="40" t="s">
        <v>684</v>
      </c>
      <c r="C10" s="29" t="s">
        <v>18</v>
      </c>
      <c r="D10" s="88" t="s">
        <v>110</v>
      </c>
      <c r="E10" s="29" t="s">
        <v>30</v>
      </c>
      <c r="F10" s="88" t="s">
        <v>33</v>
      </c>
      <c r="G10" s="32" t="s">
        <v>43</v>
      </c>
      <c r="H10" s="88" t="s">
        <v>114</v>
      </c>
      <c r="I10" s="29">
        <v>0</v>
      </c>
      <c r="J10" s="29">
        <v>49</v>
      </c>
      <c r="K10" s="89" t="s">
        <v>52</v>
      </c>
      <c r="L10" s="29">
        <v>5.7364889999999997</v>
      </c>
      <c r="M10" s="34">
        <v>12213.63</v>
      </c>
      <c r="N10" s="34"/>
      <c r="O10" s="34">
        <v>2</v>
      </c>
      <c r="P10" s="34">
        <v>24427.26</v>
      </c>
      <c r="Q10" s="93">
        <v>0</v>
      </c>
      <c r="R10" s="34">
        <v>12213.63</v>
      </c>
      <c r="S10" s="34">
        <f t="shared" ref="S10:S11" si="7">IFERROR(ROUND(R10*O10, 2), 0)</f>
        <v>24427.26</v>
      </c>
      <c r="T10" s="93">
        <v>5.4252431033601596</v>
      </c>
      <c r="U10" s="35">
        <v>5.74</v>
      </c>
      <c r="V10" s="29">
        <v>700.63</v>
      </c>
      <c r="W10" s="29">
        <f t="shared" si="5"/>
        <v>1401.26</v>
      </c>
      <c r="X10" s="91">
        <v>-5.7364600041101603</v>
      </c>
      <c r="Y10" s="29">
        <v>12914.26</v>
      </c>
      <c r="Z10" s="29">
        <v>25828.52</v>
      </c>
    </row>
    <row r="11" spans="1:26" x14ac:dyDescent="0.3">
      <c r="A11" s="88" t="s">
        <v>588</v>
      </c>
      <c r="B11" s="40" t="s">
        <v>685</v>
      </c>
      <c r="C11" s="29" t="s">
        <v>18</v>
      </c>
      <c r="D11" s="88" t="s">
        <v>110</v>
      </c>
      <c r="E11" s="29" t="s">
        <v>30</v>
      </c>
      <c r="F11" s="88" t="s">
        <v>33</v>
      </c>
      <c r="G11" s="32" t="s">
        <v>43</v>
      </c>
      <c r="H11" s="88" t="s">
        <v>114</v>
      </c>
      <c r="I11" s="29">
        <v>0</v>
      </c>
      <c r="J11" s="29">
        <v>49</v>
      </c>
      <c r="K11" s="89" t="s">
        <v>53</v>
      </c>
      <c r="L11" s="29">
        <v>989.56</v>
      </c>
      <c r="M11" s="34">
        <v>12213.63</v>
      </c>
      <c r="N11" s="34"/>
      <c r="O11" s="34">
        <v>2</v>
      </c>
      <c r="P11" s="34">
        <v>24427.26</v>
      </c>
      <c r="Q11" s="93">
        <v>0</v>
      </c>
      <c r="R11" s="90">
        <v>12213.63</v>
      </c>
      <c r="S11" s="34">
        <f t="shared" si="7"/>
        <v>24427.26</v>
      </c>
      <c r="T11" s="29">
        <v>7.4948554099425904</v>
      </c>
      <c r="U11" s="29">
        <v>8.1020957733286494</v>
      </c>
      <c r="V11" s="35">
        <v>989.56</v>
      </c>
      <c r="W11" s="29">
        <f t="shared" si="5"/>
        <v>1979.12</v>
      </c>
      <c r="X11" s="93">
        <v>-8.1020957733286494</v>
      </c>
      <c r="Y11" s="29">
        <v>13203.19</v>
      </c>
      <c r="Z11" s="29">
        <f t="shared" ref="Z11" si="8">IFERROR(ROUND(Y11*O11, 2), 0)</f>
        <v>26406.38</v>
      </c>
    </row>
  </sheetData>
  <autoFilter ref="B1:B11" xr:uid="{03BE2493-B413-430F-A45D-F7EA25EFF177}"/>
  <phoneticPr fontId="9" type="noConversion"/>
  <hyperlinks>
    <hyperlink ref="D4" r:id="rId1" display="https://st1723635638241--stratavar.vf.force.com/a8Fbn000001CRgbEAG" xr:uid="{B8EADC3D-1A93-4D4C-9969-B0D2CB0D9AED}"/>
    <hyperlink ref="D5" r:id="rId2" display="https://st1723635638241--stratavar.vf.force.com/a8Fbn000001CRgbEAG" xr:uid="{6BE520CA-25BF-4E3C-A5FD-F27DA50CDDD3}"/>
  </hyperlinks>
  <pageMargins left="0.7" right="0.7" top="0.75" bottom="0.75" header="0.3" footer="0.3"/>
  <pageSetup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8C17-010F-4197-B544-8DC26206999A}">
  <dimension ref="A1:Z11"/>
  <sheetViews>
    <sheetView workbookViewId="0">
      <selection activeCell="B2" sqref="B2:B5"/>
    </sheetView>
  </sheetViews>
  <sheetFormatPr defaultRowHeight="20.25" customHeight="1" x14ac:dyDescent="0.3"/>
  <cols>
    <col min="1" max="1" width="19.44140625" bestFit="1" customWidth="1"/>
    <col min="2" max="2" width="21.109375" bestFit="1" customWidth="1"/>
    <col min="3" max="3" width="16.88671875" bestFit="1" customWidth="1"/>
    <col min="4" max="4" width="20" bestFit="1" customWidth="1"/>
    <col min="5" max="5" width="14.109375" bestFit="1" customWidth="1"/>
    <col min="6" max="6" width="15.44140625" bestFit="1" customWidth="1"/>
    <col min="7" max="7" width="11.44140625" bestFit="1" customWidth="1"/>
    <col min="8" max="8" width="14" bestFit="1" customWidth="1"/>
    <col min="9" max="9" width="12.5546875" bestFit="1" customWidth="1"/>
    <col min="10" max="10" width="19.109375" bestFit="1" customWidth="1"/>
    <col min="11" max="11" width="21" bestFit="1" customWidth="1"/>
    <col min="12" max="12" width="15.5546875" bestFit="1" customWidth="1"/>
    <col min="13" max="13" width="30.33203125" bestFit="1" customWidth="1"/>
    <col min="14" max="14" width="33.44140625" bestFit="1" customWidth="1"/>
    <col min="15" max="15" width="30.109375" bestFit="1" customWidth="1"/>
    <col min="16" max="16" width="37.109375" bestFit="1" customWidth="1"/>
    <col min="17" max="17" width="38.109375" bestFit="1" customWidth="1"/>
    <col min="18" max="18" width="35" bestFit="1" customWidth="1"/>
    <col min="19" max="19" width="35.6640625" bestFit="1" customWidth="1"/>
    <col min="20" max="20" width="35.88671875" bestFit="1" customWidth="1"/>
    <col min="21" max="21" width="36.44140625" bestFit="1" customWidth="1"/>
    <col min="22" max="22" width="32" bestFit="1" customWidth="1"/>
    <col min="23" max="23" width="36.44140625" bestFit="1" customWidth="1"/>
    <col min="24" max="24" width="38.88671875" bestFit="1" customWidth="1"/>
    <col min="25" max="25" width="36" bestFit="1" customWidth="1"/>
    <col min="26" max="26" width="41" bestFit="1" customWidth="1"/>
  </cols>
  <sheetData>
    <row r="1" spans="1:26" ht="20.25" customHeight="1" thickBot="1" x14ac:dyDescent="0.35">
      <c r="A1" s="131" t="s">
        <v>22</v>
      </c>
      <c r="B1" s="132" t="s">
        <v>62</v>
      </c>
      <c r="C1" s="18" t="s">
        <v>17</v>
      </c>
      <c r="D1" s="19" t="s">
        <v>41</v>
      </c>
      <c r="E1" s="133" t="s">
        <v>21</v>
      </c>
      <c r="F1" s="134" t="s">
        <v>27</v>
      </c>
      <c r="G1" s="135" t="s">
        <v>29</v>
      </c>
      <c r="H1" s="136" t="s">
        <v>28</v>
      </c>
      <c r="I1" s="137" t="s">
        <v>14</v>
      </c>
      <c r="J1" s="138" t="s">
        <v>590</v>
      </c>
      <c r="K1" s="138" t="s">
        <v>15</v>
      </c>
      <c r="L1" s="139" t="s">
        <v>16</v>
      </c>
      <c r="M1" s="140" t="s">
        <v>12</v>
      </c>
      <c r="N1" s="141" t="s">
        <v>107</v>
      </c>
      <c r="O1" s="142" t="s">
        <v>11</v>
      </c>
      <c r="P1" s="142" t="s">
        <v>10</v>
      </c>
      <c r="Q1" s="138" t="s">
        <v>0</v>
      </c>
      <c r="R1" s="138" t="s">
        <v>1</v>
      </c>
      <c r="S1" s="138" t="s">
        <v>2</v>
      </c>
      <c r="T1" s="138" t="s">
        <v>3</v>
      </c>
      <c r="U1" s="138" t="s">
        <v>4</v>
      </c>
      <c r="V1" s="138" t="s">
        <v>5</v>
      </c>
      <c r="W1" s="138" t="s">
        <v>6</v>
      </c>
      <c r="X1" s="138" t="s">
        <v>7</v>
      </c>
      <c r="Y1" s="138" t="s">
        <v>8</v>
      </c>
      <c r="Z1" s="139" t="s">
        <v>9</v>
      </c>
    </row>
    <row r="2" spans="1:26" ht="20.25" customHeight="1" x14ac:dyDescent="0.3">
      <c r="A2" s="29" t="s">
        <v>561</v>
      </c>
      <c r="B2" t="s">
        <v>717</v>
      </c>
      <c r="C2" s="29" t="s">
        <v>18</v>
      </c>
      <c r="D2" s="30" t="s">
        <v>13</v>
      </c>
      <c r="E2" s="29" t="s">
        <v>30</v>
      </c>
      <c r="F2" s="31" t="s">
        <v>31</v>
      </c>
      <c r="G2" s="32" t="s">
        <v>65</v>
      </c>
      <c r="H2" s="29" t="s">
        <v>61</v>
      </c>
      <c r="I2" s="29">
        <v>0</v>
      </c>
      <c r="J2" s="29">
        <v>1</v>
      </c>
      <c r="K2" s="105" t="s">
        <v>39</v>
      </c>
      <c r="L2" s="29">
        <v>50</v>
      </c>
      <c r="M2" s="29">
        <v>6250</v>
      </c>
      <c r="N2" s="29"/>
      <c r="O2" s="29">
        <v>1</v>
      </c>
      <c r="P2" s="29">
        <f>O2*M2</f>
        <v>6250</v>
      </c>
      <c r="Q2" s="33">
        <v>50</v>
      </c>
      <c r="R2" s="34">
        <f>M2*(1-Q2/100)</f>
        <v>3125</v>
      </c>
      <c r="S2" s="34">
        <f>R2*O2</f>
        <v>3125</v>
      </c>
      <c r="T2" s="34">
        <v>60</v>
      </c>
      <c r="U2" s="34">
        <v>150</v>
      </c>
      <c r="V2" s="34">
        <v>4687.5</v>
      </c>
      <c r="W2" s="34">
        <v>4687.5</v>
      </c>
      <c r="X2" s="34">
        <v>-25</v>
      </c>
      <c r="Y2" s="34">
        <v>7812.5</v>
      </c>
      <c r="Z2" s="34">
        <f>Y2*O2</f>
        <v>7812.5</v>
      </c>
    </row>
    <row r="3" spans="1:26" ht="20.25" customHeight="1" x14ac:dyDescent="0.3">
      <c r="A3" s="29" t="s">
        <v>562</v>
      </c>
      <c r="B3" t="s">
        <v>718</v>
      </c>
      <c r="C3" s="29" t="s">
        <v>18</v>
      </c>
      <c r="D3" s="30" t="s">
        <v>13</v>
      </c>
      <c r="E3" s="29" t="s">
        <v>30</v>
      </c>
      <c r="F3" s="31" t="s">
        <v>31</v>
      </c>
      <c r="G3" s="32" t="s">
        <v>65</v>
      </c>
      <c r="H3" s="29" t="s">
        <v>60</v>
      </c>
      <c r="I3" s="29">
        <v>0</v>
      </c>
      <c r="J3" s="29">
        <v>13</v>
      </c>
      <c r="K3" s="105" t="s">
        <v>39</v>
      </c>
      <c r="L3" s="29">
        <v>60</v>
      </c>
      <c r="M3" s="29">
        <v>36438.33</v>
      </c>
      <c r="N3" s="29">
        <v>1</v>
      </c>
      <c r="O3" s="29">
        <v>12</v>
      </c>
      <c r="P3" s="29">
        <f>O3*M3</f>
        <v>437259.96</v>
      </c>
      <c r="Q3" s="33">
        <v>60</v>
      </c>
      <c r="R3" s="34">
        <f t="shared" ref="R3" si="0">ROUND(M3*(1-Q3/100),2)</f>
        <v>14575.33</v>
      </c>
      <c r="S3" s="34">
        <f>R3*O3</f>
        <v>174903.96</v>
      </c>
      <c r="T3" s="34">
        <v>62</v>
      </c>
      <c r="U3" s="34">
        <v>163.15795251290999</v>
      </c>
      <c r="V3" s="34">
        <v>23780.81</v>
      </c>
      <c r="W3" s="34">
        <v>285369.71999999997</v>
      </c>
      <c r="X3" s="34">
        <v>-5.2631665611459102</v>
      </c>
      <c r="Y3" s="34">
        <f>ROUND(Z3/12,2)</f>
        <v>38356.14</v>
      </c>
      <c r="Z3" s="34">
        <f>ROUND((P3*(1-(X3%))),2)</f>
        <v>460273.68</v>
      </c>
    </row>
    <row r="4" spans="1:26" ht="20.25" customHeight="1" x14ac:dyDescent="0.3">
      <c r="A4" s="91" t="s">
        <v>563</v>
      </c>
      <c r="B4" t="s">
        <v>719</v>
      </c>
      <c r="C4" s="29" t="s">
        <v>18</v>
      </c>
      <c r="D4" s="30" t="s">
        <v>13</v>
      </c>
      <c r="E4" s="29" t="s">
        <v>30</v>
      </c>
      <c r="F4" s="31" t="s">
        <v>31</v>
      </c>
      <c r="G4" s="32" t="s">
        <v>65</v>
      </c>
      <c r="H4" s="29" t="s">
        <v>115</v>
      </c>
      <c r="I4" s="29">
        <v>0</v>
      </c>
      <c r="J4" s="29">
        <v>0</v>
      </c>
      <c r="K4" s="105" t="s">
        <v>51</v>
      </c>
      <c r="L4" s="29">
        <v>8.9</v>
      </c>
      <c r="M4" s="29">
        <v>55275</v>
      </c>
      <c r="N4" s="29"/>
      <c r="O4" s="36">
        <v>1</v>
      </c>
      <c r="P4" s="29">
        <f>O4*M4</f>
        <v>55275</v>
      </c>
      <c r="Q4" s="34">
        <v>0</v>
      </c>
      <c r="R4" s="34">
        <f>M4*(1-Q4/100)</f>
        <v>55275</v>
      </c>
      <c r="S4" s="34">
        <f>R4*O4</f>
        <v>55275</v>
      </c>
      <c r="T4" s="33">
        <v>8.9</v>
      </c>
      <c r="U4" s="34">
        <v>9.7694798733604706</v>
      </c>
      <c r="V4" s="34">
        <v>5400.08</v>
      </c>
      <c r="W4" s="34">
        <v>5400.08</v>
      </c>
      <c r="X4" s="34">
        <v>-9.7694798733604706</v>
      </c>
      <c r="Y4" s="34">
        <f>M4*(1-X4/100)</f>
        <v>60675.08</v>
      </c>
      <c r="Z4" s="34">
        <v>60675.08</v>
      </c>
    </row>
    <row r="5" spans="1:26" ht="20.25" customHeight="1" x14ac:dyDescent="0.3">
      <c r="A5" s="29" t="s">
        <v>582</v>
      </c>
      <c r="B5" t="s">
        <v>720</v>
      </c>
      <c r="C5" s="29" t="s">
        <v>18</v>
      </c>
      <c r="D5" s="30" t="s">
        <v>13</v>
      </c>
      <c r="E5" s="29" t="s">
        <v>30</v>
      </c>
      <c r="F5" s="31" t="s">
        <v>31</v>
      </c>
      <c r="G5" s="32" t="s">
        <v>65</v>
      </c>
      <c r="H5" s="29" t="s">
        <v>61</v>
      </c>
      <c r="I5" s="29">
        <v>1</v>
      </c>
      <c r="J5" s="29">
        <v>21</v>
      </c>
      <c r="K5" s="105" t="s">
        <v>46</v>
      </c>
      <c r="L5" s="29">
        <v>8532.8700000000008</v>
      </c>
      <c r="M5" s="33">
        <v>8532.8700000000008</v>
      </c>
      <c r="N5" s="35"/>
      <c r="O5" s="34">
        <v>16</v>
      </c>
      <c r="P5" s="34">
        <f t="shared" ref="P5" si="1">ROUND(O5*M5, 2)</f>
        <v>136525.92000000001</v>
      </c>
      <c r="Q5" s="90">
        <v>0</v>
      </c>
      <c r="R5" s="34">
        <f t="shared" ref="R5" si="2">IFERROR(ROUND(M5*(1-Q5), 2), 0)</f>
        <v>8532.8700000000008</v>
      </c>
      <c r="S5" s="34">
        <f>IFERROR(R5*O5, 0)</f>
        <v>136525.92000000001</v>
      </c>
      <c r="T5" s="92">
        <v>20.000018751013702</v>
      </c>
      <c r="U5" s="92">
        <v>25.000029298465801</v>
      </c>
      <c r="V5" s="34">
        <v>2133.2199999999998</v>
      </c>
      <c r="W5" s="34">
        <f t="shared" ref="W5" si="3">ROUND(V5*O5, 2)</f>
        <v>34131.519999999997</v>
      </c>
      <c r="X5" s="91">
        <v>-25.000005768062501</v>
      </c>
      <c r="Y5" s="34">
        <v>10666.09</v>
      </c>
      <c r="Z5" s="34">
        <f t="shared" ref="Z5" si="4">IFERROR(ROUND(Y5*O5, 2), 0)</f>
        <v>170657.44</v>
      </c>
    </row>
    <row r="6" spans="1:26" ht="20.25" customHeight="1" x14ac:dyDescent="0.3">
      <c r="A6" s="88" t="s">
        <v>583</v>
      </c>
      <c r="B6" t="s">
        <v>721</v>
      </c>
      <c r="C6" s="29" t="s">
        <v>18</v>
      </c>
      <c r="D6" s="29" t="s">
        <v>130</v>
      </c>
      <c r="E6" s="29" t="s">
        <v>30</v>
      </c>
      <c r="F6" s="88" t="s">
        <v>33</v>
      </c>
      <c r="G6" s="32" t="s">
        <v>43</v>
      </c>
      <c r="H6" s="88" t="s">
        <v>133</v>
      </c>
      <c r="I6" s="29">
        <v>0</v>
      </c>
      <c r="J6" s="29">
        <v>5</v>
      </c>
      <c r="K6" s="105" t="s">
        <v>55</v>
      </c>
      <c r="L6" s="29">
        <v>12.25</v>
      </c>
      <c r="M6" s="34">
        <v>70</v>
      </c>
      <c r="N6" s="34">
        <v>36</v>
      </c>
      <c r="O6" s="34">
        <v>72</v>
      </c>
      <c r="P6" s="34">
        <v>181440</v>
      </c>
      <c r="Q6" s="93">
        <v>59</v>
      </c>
      <c r="R6" s="34">
        <v>1033.2</v>
      </c>
      <c r="S6" s="34">
        <f>R6*O6</f>
        <v>74390.400000000009</v>
      </c>
      <c r="T6" s="91">
        <v>53.276353276353198</v>
      </c>
      <c r="U6" s="93">
        <v>114.024390243902</v>
      </c>
      <c r="V6" s="29">
        <v>1178.0999999999999</v>
      </c>
      <c r="W6" s="29">
        <f>ROUND(V6*O6, 2)</f>
        <v>84823.2</v>
      </c>
      <c r="X6" s="35">
        <v>12.25</v>
      </c>
      <c r="Y6" s="29">
        <v>2211.3000000000002</v>
      </c>
      <c r="Z6" s="29">
        <f>Y6*O6</f>
        <v>159213.6</v>
      </c>
    </row>
    <row r="7" spans="1:26" ht="20.25" customHeight="1" x14ac:dyDescent="0.3">
      <c r="A7" s="88" t="s">
        <v>584</v>
      </c>
      <c r="B7" t="s">
        <v>722</v>
      </c>
      <c r="C7" s="29" t="s">
        <v>18</v>
      </c>
      <c r="D7" s="29" t="s">
        <v>130</v>
      </c>
      <c r="E7" s="29" t="s">
        <v>30</v>
      </c>
      <c r="F7" s="88" t="s">
        <v>33</v>
      </c>
      <c r="G7" s="32" t="s">
        <v>43</v>
      </c>
      <c r="H7" s="88" t="s">
        <v>133</v>
      </c>
      <c r="I7" s="29">
        <v>0</v>
      </c>
      <c r="J7" s="29">
        <v>5</v>
      </c>
      <c r="K7" s="105" t="s">
        <v>56</v>
      </c>
      <c r="L7" s="29">
        <v>1299.98</v>
      </c>
      <c r="M7" s="34">
        <v>70</v>
      </c>
      <c r="N7" s="34">
        <v>36</v>
      </c>
      <c r="O7" s="34">
        <v>72</v>
      </c>
      <c r="P7" s="34">
        <v>181440</v>
      </c>
      <c r="Q7" s="94">
        <v>59</v>
      </c>
      <c r="R7" s="34">
        <v>1033.2</v>
      </c>
      <c r="S7" s="34">
        <f>R7*O7</f>
        <v>74390.400000000009</v>
      </c>
      <c r="T7" s="93">
        <v>20.521854182372</v>
      </c>
      <c r="U7" s="93">
        <v>25.8207510646535</v>
      </c>
      <c r="V7" s="29">
        <v>266.77999999999997</v>
      </c>
      <c r="W7" s="29">
        <f t="shared" ref="W7:W11" si="5">ROUND(V7*O7, 2)</f>
        <v>19208.16</v>
      </c>
      <c r="X7" s="91">
        <v>48.413492063492001</v>
      </c>
      <c r="Y7" s="35">
        <v>1299.98</v>
      </c>
      <c r="Z7" s="29">
        <f t="shared" ref="Z7:Z9" si="6">IFERROR(ROUND(Y7*O7, 2), 0)</f>
        <v>93598.56</v>
      </c>
    </row>
    <row r="8" spans="1:26" ht="20.25" customHeight="1" x14ac:dyDescent="0.3">
      <c r="A8" s="29" t="s">
        <v>585</v>
      </c>
      <c r="B8" t="s">
        <v>723</v>
      </c>
      <c r="C8" s="29" t="s">
        <v>18</v>
      </c>
      <c r="D8" s="29" t="s">
        <v>130</v>
      </c>
      <c r="E8" s="29" t="s">
        <v>30</v>
      </c>
      <c r="F8" s="29" t="s">
        <v>33</v>
      </c>
      <c r="G8" s="32" t="s">
        <v>43</v>
      </c>
      <c r="H8" s="29" t="s">
        <v>133</v>
      </c>
      <c r="I8" s="29">
        <v>0</v>
      </c>
      <c r="J8" s="29">
        <v>5</v>
      </c>
      <c r="K8" s="105" t="s">
        <v>135</v>
      </c>
      <c r="L8" s="29">
        <v>72.739999999999995</v>
      </c>
      <c r="M8" s="90">
        <v>70</v>
      </c>
      <c r="N8" s="35">
        <v>72.739999999999995</v>
      </c>
      <c r="O8" s="90">
        <v>72</v>
      </c>
      <c r="P8" s="34">
        <v>366609.6</v>
      </c>
      <c r="Q8" s="91">
        <v>59</v>
      </c>
      <c r="R8" s="34">
        <v>2087.64</v>
      </c>
      <c r="S8" s="34">
        <f>IFERROR(ROUND(R8*O8, 2), 0)</f>
        <v>150310.07999999999</v>
      </c>
      <c r="T8" s="93">
        <v>4.99845277317654</v>
      </c>
      <c r="U8" s="93">
        <v>5.2614435439060303</v>
      </c>
      <c r="V8" s="29">
        <v>109.84</v>
      </c>
      <c r="W8" s="29">
        <f t="shared" si="5"/>
        <v>7908.48</v>
      </c>
      <c r="X8" s="91">
        <v>56.842857142857099</v>
      </c>
      <c r="Y8" s="29">
        <v>2197.48</v>
      </c>
      <c r="Z8" s="29">
        <f t="shared" si="6"/>
        <v>158218.56</v>
      </c>
    </row>
    <row r="9" spans="1:26" ht="20.25" customHeight="1" x14ac:dyDescent="0.3">
      <c r="A9" s="29" t="s">
        <v>586</v>
      </c>
      <c r="B9" t="s">
        <v>724</v>
      </c>
      <c r="C9" s="29" t="s">
        <v>18</v>
      </c>
      <c r="D9" s="29" t="s">
        <v>110</v>
      </c>
      <c r="E9" s="29" t="s">
        <v>30</v>
      </c>
      <c r="F9" s="29" t="s">
        <v>33</v>
      </c>
      <c r="G9" s="32" t="s">
        <v>43</v>
      </c>
      <c r="H9" s="29" t="s">
        <v>173</v>
      </c>
      <c r="I9" s="29">
        <v>0</v>
      </c>
      <c r="J9" s="29">
        <v>0</v>
      </c>
      <c r="K9" s="106" t="s">
        <v>49</v>
      </c>
      <c r="L9" s="29">
        <v>369.96</v>
      </c>
      <c r="M9" s="90">
        <v>1225.1400000000001</v>
      </c>
      <c r="N9" s="91"/>
      <c r="O9" s="90">
        <v>5</v>
      </c>
      <c r="P9" s="34">
        <v>6125.7</v>
      </c>
      <c r="Q9" s="94">
        <v>69.8026348009207</v>
      </c>
      <c r="R9" s="33">
        <v>369.96</v>
      </c>
      <c r="S9" s="34">
        <v>1849.8</v>
      </c>
      <c r="T9" s="93">
        <v>21.610340078398099</v>
      </c>
      <c r="U9" s="91">
        <v>27.567845172451001</v>
      </c>
      <c r="V9" s="29">
        <v>101.99</v>
      </c>
      <c r="W9" s="29">
        <f t="shared" si="5"/>
        <v>509.95</v>
      </c>
      <c r="X9" s="93">
        <v>61.4778719166789</v>
      </c>
      <c r="Y9" s="29">
        <v>471.95</v>
      </c>
      <c r="Z9" s="29">
        <f t="shared" si="6"/>
        <v>2359.75</v>
      </c>
    </row>
    <row r="10" spans="1:26" ht="20.25" customHeight="1" x14ac:dyDescent="0.3">
      <c r="A10" s="88" t="s">
        <v>587</v>
      </c>
      <c r="B10" t="s">
        <v>725</v>
      </c>
      <c r="C10" s="29" t="s">
        <v>18</v>
      </c>
      <c r="D10" s="88" t="s">
        <v>110</v>
      </c>
      <c r="E10" s="29" t="s">
        <v>30</v>
      </c>
      <c r="F10" s="88" t="s">
        <v>33</v>
      </c>
      <c r="G10" s="32" t="s">
        <v>43</v>
      </c>
      <c r="H10" s="88" t="s">
        <v>114</v>
      </c>
      <c r="I10" s="29">
        <v>0</v>
      </c>
      <c r="J10" s="29">
        <v>49</v>
      </c>
      <c r="K10" s="89" t="s">
        <v>52</v>
      </c>
      <c r="L10" s="29">
        <v>5.7364889999999997</v>
      </c>
      <c r="M10" s="34">
        <v>12213.63</v>
      </c>
      <c r="N10" s="34"/>
      <c r="O10" s="34">
        <v>2</v>
      </c>
      <c r="P10" s="34">
        <v>24427.26</v>
      </c>
      <c r="Q10" s="93">
        <v>0</v>
      </c>
      <c r="R10" s="34">
        <v>12213.63</v>
      </c>
      <c r="S10" s="34">
        <f t="shared" ref="S10:S11" si="7">IFERROR(ROUND(R10*O10, 2), 0)</f>
        <v>24427.26</v>
      </c>
      <c r="T10" s="93">
        <v>5.4252431033601596</v>
      </c>
      <c r="U10" s="35">
        <v>5.74</v>
      </c>
      <c r="V10" s="29">
        <v>700.63</v>
      </c>
      <c r="W10" s="29">
        <f t="shared" si="5"/>
        <v>1401.26</v>
      </c>
      <c r="X10" s="91">
        <v>-5.7364600041101603</v>
      </c>
      <c r="Y10" s="29">
        <v>12914.26</v>
      </c>
      <c r="Z10" s="29">
        <v>25828.52</v>
      </c>
    </row>
    <row r="11" spans="1:26" ht="20.25" customHeight="1" x14ac:dyDescent="0.3">
      <c r="A11" s="88" t="s">
        <v>588</v>
      </c>
      <c r="B11" t="s">
        <v>726</v>
      </c>
      <c r="C11" s="29" t="s">
        <v>18</v>
      </c>
      <c r="D11" s="88" t="s">
        <v>110</v>
      </c>
      <c r="E11" s="29" t="s">
        <v>30</v>
      </c>
      <c r="F11" s="88" t="s">
        <v>33</v>
      </c>
      <c r="G11" s="32" t="s">
        <v>43</v>
      </c>
      <c r="H11" s="88" t="s">
        <v>114</v>
      </c>
      <c r="I11" s="29">
        <v>0</v>
      </c>
      <c r="J11" s="29">
        <v>49</v>
      </c>
      <c r="K11" s="89" t="s">
        <v>53</v>
      </c>
      <c r="L11" s="29">
        <v>989.56</v>
      </c>
      <c r="M11" s="34">
        <v>12213.63</v>
      </c>
      <c r="N11" s="34"/>
      <c r="O11" s="34">
        <v>2</v>
      </c>
      <c r="P11" s="34">
        <v>24427.26</v>
      </c>
      <c r="Q11" s="93">
        <v>0</v>
      </c>
      <c r="R11" s="90">
        <v>12213.63</v>
      </c>
      <c r="S11" s="34">
        <f t="shared" si="7"/>
        <v>24427.26</v>
      </c>
      <c r="T11" s="29">
        <v>7.4948554099425904</v>
      </c>
      <c r="U11" s="29">
        <v>8.1020957733286494</v>
      </c>
      <c r="V11" s="35">
        <v>989.56</v>
      </c>
      <c r="W11" s="29">
        <f t="shared" si="5"/>
        <v>1979.12</v>
      </c>
      <c r="X11" s="93">
        <v>-8.1020957733286494</v>
      </c>
      <c r="Y11" s="29">
        <v>13203.19</v>
      </c>
      <c r="Z11" s="29">
        <f t="shared" ref="Z11" si="8">IFERROR(ROUND(Y11*O11, 2), 0)</f>
        <v>26406.38</v>
      </c>
    </row>
  </sheetData>
  <hyperlinks>
    <hyperlink ref="D4" r:id="rId1" display="https://st1723635638241--stratavar.vf.force.com/a8Fbn000001CRgbEAG" xr:uid="{E11B78F6-4DFD-4546-B091-AD2B2812D81B}"/>
    <hyperlink ref="D5" r:id="rId2" display="https://st1723635638241--stratavar.vf.force.com/a8Fbn000001CRgbEAG" xr:uid="{C063F4D2-5E25-465F-A43F-DD154ECF8121}"/>
  </hyperlinks>
  <pageMargins left="0.7" right="0.7" top="0.75" bottom="0.75" header="0.3" footer="0.3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969D-CEE1-45D3-9A70-3DE20A2EC12C}">
  <dimension ref="A1:AA12"/>
  <sheetViews>
    <sheetView workbookViewId="0">
      <selection activeCell="AB17" sqref="AB17"/>
    </sheetView>
  </sheetViews>
  <sheetFormatPr defaultColWidth="21.5546875" defaultRowHeight="14.4" x14ac:dyDescent="0.3"/>
  <cols>
    <col min="1" max="1" width="16" style="29" customWidth="1"/>
    <col min="2" max="3" width="0" style="29" hidden="1" customWidth="1"/>
    <col min="4" max="4" width="21.5546875" style="29"/>
    <col min="5" max="6" width="21.5546875" style="29" customWidth="1"/>
    <col min="7" max="7" width="17" style="29" customWidth="1"/>
    <col min="8" max="8" width="18" style="29" customWidth="1"/>
    <col min="9" max="10" width="13.5546875" style="29" customWidth="1"/>
    <col min="11" max="11" width="21.5546875" style="85" customWidth="1"/>
    <col min="12" max="12" width="21.5546875" style="29" customWidth="1"/>
    <col min="13" max="13" width="13.5546875" style="29" customWidth="1"/>
    <col min="14" max="14" width="12.44140625" style="29" customWidth="1"/>
    <col min="15" max="15" width="11.6640625" style="29" customWidth="1"/>
    <col min="16" max="16" width="13" style="29" customWidth="1"/>
    <col min="17" max="18" width="21.5546875" style="29" customWidth="1"/>
    <col min="19" max="19" width="13.5546875" style="29" customWidth="1"/>
    <col min="20" max="26" width="21.5546875" style="29" customWidth="1"/>
    <col min="27" max="27" width="21.5546875" style="85"/>
    <col min="28" max="16384" width="21.5546875" style="29"/>
  </cols>
  <sheetData>
    <row r="1" spans="1:27" s="28" customFormat="1" ht="43.8" thickBot="1" x14ac:dyDescent="0.35">
      <c r="A1" s="17" t="s">
        <v>22</v>
      </c>
      <c r="B1" s="86" t="s">
        <v>62</v>
      </c>
      <c r="C1" s="18" t="s">
        <v>17</v>
      </c>
      <c r="D1" s="19" t="s">
        <v>41</v>
      </c>
      <c r="E1" s="20" t="s">
        <v>21</v>
      </c>
      <c r="F1" s="21" t="s">
        <v>27</v>
      </c>
      <c r="G1" s="22" t="s">
        <v>29</v>
      </c>
      <c r="H1" s="23" t="s">
        <v>28</v>
      </c>
      <c r="I1" s="24" t="s">
        <v>14</v>
      </c>
      <c r="J1" s="25" t="s">
        <v>590</v>
      </c>
      <c r="K1" s="25" t="s">
        <v>15</v>
      </c>
      <c r="L1" s="26" t="s">
        <v>16</v>
      </c>
      <c r="M1" s="24" t="s">
        <v>12</v>
      </c>
      <c r="N1" s="87" t="s">
        <v>107</v>
      </c>
      <c r="O1" s="27" t="s">
        <v>11</v>
      </c>
      <c r="P1" s="27" t="s">
        <v>10</v>
      </c>
      <c r="Q1" s="25" t="s">
        <v>0</v>
      </c>
      <c r="R1" s="25" t="s">
        <v>1</v>
      </c>
      <c r="S1" s="25" t="s">
        <v>2</v>
      </c>
      <c r="T1" s="25" t="s">
        <v>3</v>
      </c>
      <c r="U1" s="25" t="s">
        <v>4</v>
      </c>
      <c r="V1" s="25" t="s">
        <v>5</v>
      </c>
      <c r="W1" s="25" t="s">
        <v>6</v>
      </c>
      <c r="X1" s="25" t="s">
        <v>7</v>
      </c>
      <c r="Y1" s="25" t="s">
        <v>8</v>
      </c>
      <c r="Z1" s="26" t="s">
        <v>9</v>
      </c>
      <c r="AA1" s="28" t="s">
        <v>19</v>
      </c>
    </row>
    <row r="2" spans="1:27" x14ac:dyDescent="0.3">
      <c r="A2" s="29" t="s">
        <v>561</v>
      </c>
      <c r="B2" s="41" t="s">
        <v>63</v>
      </c>
      <c r="C2" s="29" t="s">
        <v>18</v>
      </c>
      <c r="D2" s="30" t="s">
        <v>13</v>
      </c>
      <c r="E2" s="29" t="s">
        <v>30</v>
      </c>
      <c r="F2" s="31" t="s">
        <v>31</v>
      </c>
      <c r="G2" s="32" t="s">
        <v>65</v>
      </c>
      <c r="H2" s="29" t="s">
        <v>61</v>
      </c>
      <c r="I2" s="29">
        <v>0</v>
      </c>
      <c r="J2" s="29">
        <v>1</v>
      </c>
      <c r="K2" s="85" t="s">
        <v>39</v>
      </c>
      <c r="L2" s="29">
        <v>50</v>
      </c>
      <c r="M2" s="29">
        <v>6250</v>
      </c>
      <c r="O2" s="29">
        <v>1</v>
      </c>
      <c r="P2" s="29">
        <f>O2*M2</f>
        <v>6250</v>
      </c>
      <c r="Q2" s="33">
        <v>50</v>
      </c>
      <c r="R2" s="34">
        <f>M2*(1-Q2/100)</f>
        <v>3125</v>
      </c>
      <c r="S2" s="34">
        <f>R2*O2</f>
        <v>3125</v>
      </c>
      <c r="T2" s="34">
        <v>60</v>
      </c>
      <c r="U2" s="34">
        <v>150</v>
      </c>
      <c r="V2" s="34">
        <v>4687.5</v>
      </c>
      <c r="W2" s="34">
        <v>4687.5</v>
      </c>
      <c r="X2" s="34">
        <v>-25</v>
      </c>
      <c r="Y2" s="34">
        <v>7812.5</v>
      </c>
      <c r="Z2" s="34">
        <f>Y2*O2</f>
        <v>7812.5</v>
      </c>
      <c r="AA2" s="85" t="s">
        <v>581</v>
      </c>
    </row>
    <row r="3" spans="1:27" x14ac:dyDescent="0.3">
      <c r="A3" s="29" t="s">
        <v>562</v>
      </c>
      <c r="B3" s="41" t="s">
        <v>63</v>
      </c>
      <c r="C3" s="29" t="s">
        <v>18</v>
      </c>
      <c r="D3" s="30" t="s">
        <v>13</v>
      </c>
      <c r="E3" s="29" t="s">
        <v>30</v>
      </c>
      <c r="F3" s="31" t="s">
        <v>31</v>
      </c>
      <c r="G3" s="32" t="s">
        <v>64</v>
      </c>
      <c r="H3" s="29" t="s">
        <v>60</v>
      </c>
      <c r="I3" s="29">
        <v>0</v>
      </c>
      <c r="J3" s="29">
        <v>0</v>
      </c>
      <c r="K3" s="85" t="s">
        <v>39</v>
      </c>
      <c r="L3" s="29">
        <v>50</v>
      </c>
      <c r="M3" s="29">
        <v>55275</v>
      </c>
      <c r="O3" s="29">
        <v>1</v>
      </c>
      <c r="P3" s="29">
        <f>O3*M3</f>
        <v>55275</v>
      </c>
      <c r="Q3" s="33">
        <v>50</v>
      </c>
      <c r="R3" s="34">
        <f>M3*(1-Q3/100)</f>
        <v>27637.5</v>
      </c>
      <c r="S3" s="34">
        <f>R3*O3</f>
        <v>27637.5</v>
      </c>
      <c r="T3" s="34">
        <v>56</v>
      </c>
      <c r="U3" s="34">
        <v>127.27</v>
      </c>
      <c r="V3" s="34">
        <v>35175</v>
      </c>
      <c r="W3" s="34">
        <v>35175</v>
      </c>
      <c r="X3" s="34">
        <v>-13.64</v>
      </c>
      <c r="Y3" s="34">
        <v>62812.5</v>
      </c>
      <c r="Z3" s="34">
        <f>Y3*O3</f>
        <v>62812.5</v>
      </c>
      <c r="AA3" s="85" t="s">
        <v>593</v>
      </c>
    </row>
    <row r="4" spans="1:27" x14ac:dyDescent="0.3">
      <c r="A4" s="29" t="s">
        <v>563</v>
      </c>
      <c r="B4" s="41" t="s">
        <v>63</v>
      </c>
      <c r="C4" s="29" t="s">
        <v>18</v>
      </c>
      <c r="D4" s="30" t="s">
        <v>13</v>
      </c>
      <c r="E4" s="29" t="s">
        <v>30</v>
      </c>
      <c r="F4" s="31" t="s">
        <v>33</v>
      </c>
      <c r="G4" s="32" t="s">
        <v>43</v>
      </c>
      <c r="H4" s="29" t="s">
        <v>591</v>
      </c>
      <c r="I4" s="29">
        <v>0</v>
      </c>
      <c r="J4" s="29">
        <v>21</v>
      </c>
      <c r="K4" s="85" t="s">
        <v>39</v>
      </c>
      <c r="L4" s="29">
        <v>60.39</v>
      </c>
      <c r="M4" s="29">
        <v>43342.11</v>
      </c>
      <c r="O4" s="36">
        <v>16</v>
      </c>
      <c r="P4" s="29">
        <f>O4*M4</f>
        <v>693473.76</v>
      </c>
      <c r="Q4" s="37">
        <v>60.39</v>
      </c>
      <c r="R4" s="34">
        <f>M4*(1-Q4/100)</f>
        <v>17167.809771</v>
      </c>
      <c r="S4" s="34">
        <f>R4*O4</f>
        <v>274684.956336</v>
      </c>
      <c r="T4" s="34">
        <v>60.39</v>
      </c>
      <c r="U4" s="34">
        <v>152.46</v>
      </c>
      <c r="V4" s="34">
        <v>26174.3</v>
      </c>
      <c r="W4" s="34">
        <v>418788.8</v>
      </c>
      <c r="X4" s="34">
        <v>0</v>
      </c>
      <c r="Y4" s="34">
        <f>M4*(1-X4/100)</f>
        <v>43342.11</v>
      </c>
      <c r="Z4" s="34">
        <f>Y4*O4</f>
        <v>693473.76</v>
      </c>
      <c r="AA4" s="85" t="s">
        <v>581</v>
      </c>
    </row>
    <row r="5" spans="1:27" x14ac:dyDescent="0.3">
      <c r="A5" s="29" t="s">
        <v>582</v>
      </c>
      <c r="B5" s="41" t="s">
        <v>63</v>
      </c>
      <c r="C5" s="29" t="s">
        <v>18</v>
      </c>
      <c r="D5" s="29" t="s">
        <v>110</v>
      </c>
      <c r="E5" s="29" t="s">
        <v>113</v>
      </c>
      <c r="F5" s="31" t="s">
        <v>33</v>
      </c>
      <c r="G5" s="32" t="s">
        <v>43</v>
      </c>
      <c r="H5" s="29" t="s">
        <v>114</v>
      </c>
      <c r="I5" s="29">
        <v>0</v>
      </c>
      <c r="J5" s="29">
        <v>49</v>
      </c>
      <c r="K5" s="85" t="s">
        <v>46</v>
      </c>
      <c r="L5" s="29">
        <v>8532.8700000000008</v>
      </c>
      <c r="M5" s="33">
        <v>8532.8700000000008</v>
      </c>
      <c r="N5" s="35"/>
      <c r="O5" s="34">
        <v>2</v>
      </c>
      <c r="P5" s="34">
        <f t="shared" ref="P5" si="0">ROUND(O5*M5, 2)</f>
        <v>17065.740000000002</v>
      </c>
      <c r="Q5" s="90">
        <v>0</v>
      </c>
      <c r="R5" s="34">
        <f t="shared" ref="R5" si="1">IFERROR(ROUND(M5*(1-Q5), 2), 0)</f>
        <v>8532.8700000000008</v>
      </c>
      <c r="S5" s="34">
        <f>IFERROR(R5*O5, 0)</f>
        <v>17065.740000000002</v>
      </c>
      <c r="T5" s="92">
        <v>12</v>
      </c>
      <c r="U5" s="92">
        <v>13.64</v>
      </c>
      <c r="V5" s="34">
        <v>1163.58</v>
      </c>
      <c r="W5" s="34">
        <f t="shared" ref="W5" si="2">ROUND(V5*O5, 2)</f>
        <v>2327.16</v>
      </c>
      <c r="X5" s="91">
        <v>-13.64</v>
      </c>
      <c r="Y5" s="34">
        <v>9696.4500000000007</v>
      </c>
      <c r="Z5" s="34">
        <f t="shared" ref="Z5" si="3">IFERROR(ROUND(Y5*O5, 2), 0)</f>
        <v>19392.900000000001</v>
      </c>
      <c r="AA5" s="85" t="s">
        <v>592</v>
      </c>
    </row>
    <row r="6" spans="1:27" x14ac:dyDescent="0.3">
      <c r="A6" s="88" t="s">
        <v>583</v>
      </c>
      <c r="B6" s="41" t="s">
        <v>63</v>
      </c>
      <c r="C6" s="29" t="s">
        <v>18</v>
      </c>
      <c r="D6" s="29" t="s">
        <v>130</v>
      </c>
      <c r="E6" s="88" t="s">
        <v>467</v>
      </c>
      <c r="F6" s="88" t="s">
        <v>33</v>
      </c>
      <c r="G6" s="32" t="s">
        <v>43</v>
      </c>
      <c r="H6" s="88" t="s">
        <v>133</v>
      </c>
      <c r="I6" s="29">
        <v>0</v>
      </c>
      <c r="J6" s="29">
        <v>5</v>
      </c>
      <c r="K6" s="85" t="s">
        <v>51</v>
      </c>
      <c r="L6" s="29">
        <v>34.824896000000003</v>
      </c>
      <c r="M6" s="34">
        <v>70</v>
      </c>
      <c r="N6" s="34">
        <v>36</v>
      </c>
      <c r="O6" s="34">
        <v>72</v>
      </c>
      <c r="P6" s="34">
        <v>181440</v>
      </c>
      <c r="Q6" s="93">
        <v>34.83</v>
      </c>
      <c r="R6" s="34">
        <v>1642.41</v>
      </c>
      <c r="S6" s="34">
        <v>118253.52</v>
      </c>
      <c r="T6" s="35">
        <v>34.82</v>
      </c>
      <c r="U6" s="93">
        <v>53.43</v>
      </c>
      <c r="V6" s="29">
        <v>877.59</v>
      </c>
      <c r="W6" s="29">
        <f>ROUND(V6*O6, 2)</f>
        <v>63186.48</v>
      </c>
      <c r="X6" s="91">
        <v>0</v>
      </c>
      <c r="Y6" s="29">
        <v>2520</v>
      </c>
      <c r="Z6" s="29">
        <v>181440</v>
      </c>
      <c r="AA6" s="85" t="s">
        <v>60</v>
      </c>
    </row>
    <row r="7" spans="1:27" x14ac:dyDescent="0.3">
      <c r="A7" s="88" t="s">
        <v>584</v>
      </c>
      <c r="B7" s="41" t="s">
        <v>63</v>
      </c>
      <c r="C7" s="29" t="s">
        <v>18</v>
      </c>
      <c r="D7" s="29" t="s">
        <v>130</v>
      </c>
      <c r="E7" s="88" t="s">
        <v>30</v>
      </c>
      <c r="F7" s="88" t="s">
        <v>33</v>
      </c>
      <c r="G7" s="32" t="s">
        <v>43</v>
      </c>
      <c r="H7" s="88" t="s">
        <v>133</v>
      </c>
      <c r="I7" s="29">
        <v>0</v>
      </c>
      <c r="J7" s="29">
        <v>5</v>
      </c>
      <c r="K7" s="85" t="s">
        <v>55</v>
      </c>
      <c r="L7" s="29">
        <v>36.89</v>
      </c>
      <c r="M7" s="34">
        <v>70</v>
      </c>
      <c r="N7" s="34">
        <v>36</v>
      </c>
      <c r="O7" s="34">
        <v>72</v>
      </c>
      <c r="P7" s="34">
        <v>181440</v>
      </c>
      <c r="Q7" s="94">
        <v>59</v>
      </c>
      <c r="R7" s="34">
        <v>1033.2</v>
      </c>
      <c r="S7" s="34">
        <v>74390.399999999994</v>
      </c>
      <c r="T7" s="93">
        <v>35.03</v>
      </c>
      <c r="U7" s="93">
        <v>53.93</v>
      </c>
      <c r="V7" s="29">
        <v>557.16999999999996</v>
      </c>
      <c r="W7" s="29">
        <f t="shared" ref="W7:W12" si="4">ROUND(V7*O7, 2)</f>
        <v>40116.239999999998</v>
      </c>
      <c r="X7" s="35">
        <v>36.89</v>
      </c>
      <c r="Y7" s="29">
        <v>1590.37</v>
      </c>
      <c r="Z7" s="29">
        <f t="shared" ref="Z7:Z9" si="5">IFERROR(ROUND(Y7*O7, 2), 0)</f>
        <v>114506.64</v>
      </c>
      <c r="AA7" s="85" t="s">
        <v>60</v>
      </c>
    </row>
    <row r="8" spans="1:27" x14ac:dyDescent="0.3">
      <c r="A8" s="29" t="s">
        <v>585</v>
      </c>
      <c r="B8" s="41" t="s">
        <v>63</v>
      </c>
      <c r="C8" s="29" t="s">
        <v>18</v>
      </c>
      <c r="D8" s="29" t="s">
        <v>130</v>
      </c>
      <c r="E8" s="29" t="s">
        <v>113</v>
      </c>
      <c r="F8" s="29" t="s">
        <v>33</v>
      </c>
      <c r="G8" s="32" t="s">
        <v>43</v>
      </c>
      <c r="H8" s="29" t="s">
        <v>133</v>
      </c>
      <c r="I8" s="29">
        <v>0</v>
      </c>
      <c r="J8" s="29">
        <v>5</v>
      </c>
      <c r="K8" s="85" t="s">
        <v>135</v>
      </c>
      <c r="L8" s="29">
        <v>72.739999999999995</v>
      </c>
      <c r="M8" s="90">
        <v>70</v>
      </c>
      <c r="N8" s="35">
        <v>72.739999999999995</v>
      </c>
      <c r="O8" s="90">
        <v>72</v>
      </c>
      <c r="P8" s="34">
        <f>ROUND(N8*O8*M8, 2)</f>
        <v>366609.6</v>
      </c>
      <c r="Q8" s="91">
        <v>59</v>
      </c>
      <c r="R8" s="34">
        <v>2087.64</v>
      </c>
      <c r="S8" s="34">
        <f>IFERROR(ROUND(R8*O8, 2), 0)</f>
        <v>150310.07999999999</v>
      </c>
      <c r="T8" s="93">
        <v>59</v>
      </c>
      <c r="U8" s="93">
        <v>143.9</v>
      </c>
      <c r="V8" s="29">
        <f t="shared" ref="V8:V12" si="6">Y8-R8</f>
        <v>3004.1600000000003</v>
      </c>
      <c r="W8" s="29">
        <f t="shared" si="4"/>
        <v>216299.51999999999</v>
      </c>
      <c r="X8" s="91">
        <v>0</v>
      </c>
      <c r="Y8" s="29">
        <f>IFERROR(ROUND(N8*M8*(1-X8), 2), 0)</f>
        <v>5091.8</v>
      </c>
      <c r="Z8" s="29">
        <f t="shared" si="5"/>
        <v>366609.6</v>
      </c>
      <c r="AA8" s="85" t="s">
        <v>60</v>
      </c>
    </row>
    <row r="9" spans="1:27" x14ac:dyDescent="0.3">
      <c r="A9" s="29" t="s">
        <v>586</v>
      </c>
      <c r="B9" s="41" t="s">
        <v>63</v>
      </c>
      <c r="C9" s="29" t="s">
        <v>18</v>
      </c>
      <c r="D9" s="29" t="s">
        <v>110</v>
      </c>
      <c r="E9" s="29" t="s">
        <v>113</v>
      </c>
      <c r="F9" s="29" t="s">
        <v>33</v>
      </c>
      <c r="G9" s="32" t="s">
        <v>43</v>
      </c>
      <c r="H9" s="29" t="s">
        <v>173</v>
      </c>
      <c r="I9" s="29">
        <v>0</v>
      </c>
      <c r="J9" s="29">
        <v>0</v>
      </c>
      <c r="K9" s="85" t="s">
        <v>52</v>
      </c>
      <c r="L9" s="29">
        <v>0</v>
      </c>
      <c r="M9" s="90">
        <v>1225.1400000000001</v>
      </c>
      <c r="N9" s="91"/>
      <c r="O9" s="90">
        <v>5</v>
      </c>
      <c r="P9" s="34">
        <v>6125.7</v>
      </c>
      <c r="Q9" s="94">
        <v>66.099999999999994</v>
      </c>
      <c r="R9" s="34">
        <v>415.32</v>
      </c>
      <c r="S9" s="34">
        <v>2076.6</v>
      </c>
      <c r="T9" s="93">
        <f t="shared" ref="T9" si="7">IFERROR((Y9-R9)/Y9,0)</f>
        <v>0</v>
      </c>
      <c r="U9" s="35">
        <v>0</v>
      </c>
      <c r="V9" s="29">
        <f t="shared" si="6"/>
        <v>0</v>
      </c>
      <c r="W9" s="29">
        <f t="shared" si="4"/>
        <v>0</v>
      </c>
      <c r="X9" s="93">
        <v>66.099999999999994</v>
      </c>
      <c r="Y9" s="29">
        <f>IFERROR(ROUND(R9*(1+U9), 2), 0)</f>
        <v>415.32</v>
      </c>
      <c r="Z9" s="29">
        <f t="shared" si="5"/>
        <v>2076.6</v>
      </c>
      <c r="AA9" s="85" t="s">
        <v>592</v>
      </c>
    </row>
    <row r="10" spans="1:27" x14ac:dyDescent="0.3">
      <c r="A10" s="88" t="s">
        <v>587</v>
      </c>
      <c r="B10" s="41" t="s">
        <v>63</v>
      </c>
      <c r="C10" s="29" t="s">
        <v>18</v>
      </c>
      <c r="D10" s="88" t="s">
        <v>110</v>
      </c>
      <c r="E10" s="88" t="s">
        <v>224</v>
      </c>
      <c r="F10" s="88" t="s">
        <v>33</v>
      </c>
      <c r="G10" s="32" t="s">
        <v>43</v>
      </c>
      <c r="H10" s="88" t="s">
        <v>114</v>
      </c>
      <c r="I10" s="29">
        <v>0</v>
      </c>
      <c r="J10" s="29">
        <v>49</v>
      </c>
      <c r="K10" s="89" t="s">
        <v>52</v>
      </c>
      <c r="L10" s="29">
        <v>5.7364889999999997</v>
      </c>
      <c r="M10" s="34">
        <v>12213.63</v>
      </c>
      <c r="N10" s="34"/>
      <c r="O10" s="34">
        <v>2</v>
      </c>
      <c r="P10" s="34">
        <v>24427.26</v>
      </c>
      <c r="Q10" s="93">
        <v>-7.47</v>
      </c>
      <c r="R10" s="34">
        <v>13126.15</v>
      </c>
      <c r="S10" s="34">
        <f t="shared" ref="S10:S12" si="8">IFERROR(ROUND(R10*O10, 2), 0)</f>
        <v>26252.3</v>
      </c>
      <c r="T10" s="93">
        <v>5.43</v>
      </c>
      <c r="U10" s="35">
        <v>5.74</v>
      </c>
      <c r="V10" s="29">
        <v>752.98</v>
      </c>
      <c r="W10" s="29">
        <f t="shared" si="4"/>
        <v>1505.96</v>
      </c>
      <c r="X10" s="91">
        <v>-13.64</v>
      </c>
      <c r="Y10" s="29">
        <v>13879.13</v>
      </c>
      <c r="Z10" s="29">
        <v>27758.26</v>
      </c>
      <c r="AA10" s="85" t="s">
        <v>592</v>
      </c>
    </row>
    <row r="11" spans="1:27" x14ac:dyDescent="0.3">
      <c r="A11" s="88" t="s">
        <v>588</v>
      </c>
      <c r="B11" s="41" t="s">
        <v>63</v>
      </c>
      <c r="C11" s="29" t="s">
        <v>18</v>
      </c>
      <c r="D11" s="88" t="s">
        <v>110</v>
      </c>
      <c r="E11" s="88" t="s">
        <v>347</v>
      </c>
      <c r="F11" s="88" t="s">
        <v>33</v>
      </c>
      <c r="G11" s="32" t="s">
        <v>43</v>
      </c>
      <c r="H11" s="88" t="s">
        <v>114</v>
      </c>
      <c r="I11" s="29">
        <v>0</v>
      </c>
      <c r="J11" s="29">
        <v>49</v>
      </c>
      <c r="K11" s="89" t="s">
        <v>49</v>
      </c>
      <c r="L11" s="29">
        <v>10959.84</v>
      </c>
      <c r="M11" s="34">
        <v>12213.63</v>
      </c>
      <c r="N11" s="34"/>
      <c r="O11" s="34">
        <v>2</v>
      </c>
      <c r="P11" s="34">
        <v>24427.26</v>
      </c>
      <c r="Q11" s="93">
        <v>10.27</v>
      </c>
      <c r="R11" s="33">
        <v>10959.84</v>
      </c>
      <c r="S11" s="34">
        <f t="shared" si="8"/>
        <v>21919.68</v>
      </c>
      <c r="T11" s="29">
        <v>12</v>
      </c>
      <c r="U11" s="29">
        <v>13.64</v>
      </c>
      <c r="V11" s="29">
        <v>1494.52</v>
      </c>
      <c r="W11" s="29">
        <f t="shared" si="4"/>
        <v>2989.04</v>
      </c>
      <c r="X11" s="93">
        <v>-1.97</v>
      </c>
      <c r="Y11" s="29">
        <v>12454.36</v>
      </c>
      <c r="Z11" s="29">
        <f t="shared" ref="Z11" si="9">IFERROR(ROUND(Y11*O11, 2), 0)</f>
        <v>24908.720000000001</v>
      </c>
      <c r="AA11" s="85" t="s">
        <v>592</v>
      </c>
    </row>
    <row r="12" spans="1:27" customFormat="1" x14ac:dyDescent="0.3">
      <c r="A12" s="65" t="s">
        <v>589</v>
      </c>
      <c r="B12" s="41" t="s">
        <v>63</v>
      </c>
      <c r="C12" s="29" t="s">
        <v>18</v>
      </c>
      <c r="D12" s="65" t="s">
        <v>110</v>
      </c>
      <c r="E12" s="65" t="s">
        <v>307</v>
      </c>
      <c r="F12" s="65" t="s">
        <v>33</v>
      </c>
      <c r="G12" s="32" t="s">
        <v>43</v>
      </c>
      <c r="H12" s="65" t="s">
        <v>192</v>
      </c>
      <c r="I12" s="29">
        <v>0</v>
      </c>
      <c r="J12" s="29">
        <v>30</v>
      </c>
      <c r="K12" s="84" t="s">
        <v>39</v>
      </c>
      <c r="L12" s="65">
        <v>56.879853099999998</v>
      </c>
      <c r="M12" s="57">
        <v>69846.12</v>
      </c>
      <c r="N12" s="58">
        <v>36</v>
      </c>
      <c r="O12" s="57">
        <v>2</v>
      </c>
      <c r="P12" s="66">
        <v>139692.24</v>
      </c>
      <c r="Q12" s="95">
        <v>56.88</v>
      </c>
      <c r="R12" s="1">
        <v>30117.75</v>
      </c>
      <c r="S12" s="1">
        <f t="shared" si="8"/>
        <v>60235.5</v>
      </c>
      <c r="T12" s="96">
        <v>56.88</v>
      </c>
      <c r="U12" s="96">
        <v>131.91</v>
      </c>
      <c r="V12">
        <f t="shared" si="6"/>
        <v>39728.369999999995</v>
      </c>
      <c r="W12">
        <f t="shared" si="4"/>
        <v>79456.740000000005</v>
      </c>
      <c r="X12" s="58">
        <v>0</v>
      </c>
      <c r="Y12">
        <v>69846.12</v>
      </c>
      <c r="Z12">
        <v>139692.24</v>
      </c>
      <c r="AA12" s="84" t="s">
        <v>60</v>
      </c>
    </row>
  </sheetData>
  <hyperlinks>
    <hyperlink ref="D4" r:id="rId1" display="https://st1723635638241--stratavar.vf.force.com/a8Fbn000001CRgbEAG" xr:uid="{C3F78A05-D350-4362-812C-6ECF9C8F8705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F6DC-0055-4F0D-94AA-E05A98D8F16F}">
  <dimension ref="A1:Y5"/>
  <sheetViews>
    <sheetView workbookViewId="0">
      <selection activeCell="G9" sqref="G9"/>
    </sheetView>
  </sheetViews>
  <sheetFormatPr defaultColWidth="9" defaultRowHeight="14.4" x14ac:dyDescent="0.3"/>
  <cols>
    <col min="1" max="4" width="19.5546875" style="29" customWidth="1"/>
    <col min="5" max="5" width="15.44140625" style="29" customWidth="1"/>
    <col min="6" max="8" width="23.5546875" style="29" customWidth="1"/>
    <col min="9" max="9" width="17" style="29" customWidth="1"/>
    <col min="10" max="10" width="26.5546875" style="29" customWidth="1"/>
    <col min="11" max="11" width="20.44140625" style="29" customWidth="1"/>
    <col min="12" max="12" width="19.88671875" style="29" customWidth="1"/>
    <col min="13" max="13" width="13.5546875" style="29" customWidth="1"/>
    <col min="14" max="16384" width="9" style="29"/>
  </cols>
  <sheetData>
    <row r="1" spans="1:25" s="28" customFormat="1" ht="72.599999999999994" thickBot="1" x14ac:dyDescent="0.35">
      <c r="A1" s="17" t="s">
        <v>22</v>
      </c>
      <c r="B1" s="45" t="s">
        <v>62</v>
      </c>
      <c r="C1" s="18" t="s">
        <v>17</v>
      </c>
      <c r="D1" s="19" t="s">
        <v>41</v>
      </c>
      <c r="E1" s="20" t="s">
        <v>21</v>
      </c>
      <c r="F1" s="21" t="s">
        <v>27</v>
      </c>
      <c r="G1" s="22" t="s">
        <v>29</v>
      </c>
      <c r="H1" s="23" t="s">
        <v>28</v>
      </c>
      <c r="I1" s="24" t="s">
        <v>14</v>
      </c>
      <c r="J1" s="25" t="s">
        <v>15</v>
      </c>
      <c r="K1" s="26" t="s">
        <v>16</v>
      </c>
      <c r="L1" s="24" t="s">
        <v>12</v>
      </c>
      <c r="M1" s="51" t="s">
        <v>107</v>
      </c>
      <c r="N1" s="27" t="s">
        <v>11</v>
      </c>
      <c r="O1" s="27" t="s">
        <v>10</v>
      </c>
      <c r="P1" s="25" t="s">
        <v>0</v>
      </c>
      <c r="Q1" s="25" t="s">
        <v>1</v>
      </c>
      <c r="R1" s="25" t="s">
        <v>2</v>
      </c>
      <c r="S1" s="25" t="s">
        <v>3</v>
      </c>
      <c r="T1" s="25" t="s">
        <v>4</v>
      </c>
      <c r="U1" s="25" t="s">
        <v>5</v>
      </c>
      <c r="V1" s="25" t="s">
        <v>6</v>
      </c>
      <c r="W1" s="25" t="s">
        <v>7</v>
      </c>
      <c r="X1" s="25" t="s">
        <v>8</v>
      </c>
      <c r="Y1" s="26" t="s">
        <v>9</v>
      </c>
    </row>
    <row r="2" spans="1:25" ht="28.8" x14ac:dyDescent="0.3">
      <c r="A2" s="29" t="s">
        <v>20</v>
      </c>
      <c r="B2" s="41" t="s">
        <v>506</v>
      </c>
      <c r="C2" s="29" t="s">
        <v>18</v>
      </c>
      <c r="D2" s="71" t="s">
        <v>110</v>
      </c>
      <c r="E2" s="29" t="s">
        <v>30</v>
      </c>
      <c r="F2" s="31" t="s">
        <v>31</v>
      </c>
      <c r="G2" s="32" t="s">
        <v>65</v>
      </c>
      <c r="H2" s="29" t="s">
        <v>61</v>
      </c>
      <c r="I2" s="29">
        <v>0</v>
      </c>
      <c r="J2" s="29" t="s">
        <v>39</v>
      </c>
      <c r="K2" s="29">
        <v>50</v>
      </c>
      <c r="L2" s="29">
        <v>55275</v>
      </c>
      <c r="N2" s="29">
        <v>1</v>
      </c>
      <c r="O2" s="29">
        <f>N2*L2</f>
        <v>55275</v>
      </c>
      <c r="P2" s="33">
        <v>50</v>
      </c>
      <c r="Q2" s="34">
        <f>L2*(1-P2/100)</f>
        <v>27637.5</v>
      </c>
      <c r="R2" s="34">
        <f>Q2*N2</f>
        <v>27637.5</v>
      </c>
      <c r="S2" s="34">
        <v>56</v>
      </c>
      <c r="T2" s="34">
        <v>127.27</v>
      </c>
      <c r="U2" s="34">
        <v>35175</v>
      </c>
      <c r="V2" s="34">
        <v>35175</v>
      </c>
      <c r="W2" s="34">
        <v>-13.64</v>
      </c>
      <c r="X2" s="34">
        <v>62812.5</v>
      </c>
      <c r="Y2" s="34">
        <f>X2*N2</f>
        <v>62812.5</v>
      </c>
    </row>
    <row r="3" spans="1:25" ht="28.8" x14ac:dyDescent="0.3">
      <c r="A3" s="29" t="s">
        <v>24</v>
      </c>
      <c r="B3" s="41" t="s">
        <v>506</v>
      </c>
      <c r="C3" s="29" t="s">
        <v>18</v>
      </c>
      <c r="D3" s="71" t="s">
        <v>110</v>
      </c>
      <c r="E3" s="29" t="s">
        <v>30</v>
      </c>
      <c r="F3" s="31" t="s">
        <v>31</v>
      </c>
      <c r="G3" s="32" t="s">
        <v>64</v>
      </c>
      <c r="H3" s="29" t="s">
        <v>60</v>
      </c>
      <c r="I3" s="29">
        <v>0</v>
      </c>
      <c r="J3" s="29" t="s">
        <v>39</v>
      </c>
      <c r="K3" s="29">
        <v>50</v>
      </c>
      <c r="L3" s="29">
        <v>55275</v>
      </c>
      <c r="N3" s="29">
        <v>1</v>
      </c>
      <c r="O3" s="29">
        <f>N3*L3</f>
        <v>55275</v>
      </c>
      <c r="P3" s="33">
        <v>50</v>
      </c>
      <c r="Q3" s="34">
        <f>L3*(1-P3/100)</f>
        <v>27637.5</v>
      </c>
      <c r="R3" s="34">
        <f>Q3*N3</f>
        <v>27637.5</v>
      </c>
      <c r="S3" s="34">
        <v>56</v>
      </c>
      <c r="T3" s="34">
        <v>127.27</v>
      </c>
      <c r="U3" s="34">
        <v>35175</v>
      </c>
      <c r="V3" s="34">
        <v>35175</v>
      </c>
      <c r="W3" s="34">
        <v>-13.64</v>
      </c>
      <c r="X3" s="34">
        <v>62812.5</v>
      </c>
      <c r="Y3" s="34">
        <f>X3*N3</f>
        <v>62812.5</v>
      </c>
    </row>
    <row r="4" spans="1:25" ht="28.8" x14ac:dyDescent="0.3">
      <c r="A4" s="29" t="s">
        <v>25</v>
      </c>
      <c r="B4" s="41" t="s">
        <v>506</v>
      </c>
      <c r="C4" s="29" t="s">
        <v>18</v>
      </c>
      <c r="D4" s="71" t="s">
        <v>110</v>
      </c>
      <c r="E4" s="29" t="s">
        <v>30</v>
      </c>
      <c r="F4" s="31" t="s">
        <v>33</v>
      </c>
      <c r="G4" s="32" t="s">
        <v>43</v>
      </c>
      <c r="H4" s="29" t="s">
        <v>32</v>
      </c>
      <c r="I4" s="29">
        <v>1</v>
      </c>
      <c r="J4" s="29" t="s">
        <v>40</v>
      </c>
      <c r="K4" s="29">
        <v>5</v>
      </c>
      <c r="L4" s="29">
        <v>46.15</v>
      </c>
      <c r="N4" s="35">
        <v>5</v>
      </c>
      <c r="O4" s="29">
        <f>N4*L4</f>
        <v>230.75</v>
      </c>
      <c r="P4" s="34">
        <v>60.39</v>
      </c>
      <c r="Q4" s="34">
        <f>L4*(1-P4/100)</f>
        <v>18.280014999999999</v>
      </c>
      <c r="R4" s="34">
        <f>Q4*N4</f>
        <v>91.400074999999987</v>
      </c>
      <c r="S4" s="34">
        <f>V4/Y4*100</f>
        <v>60.390000000000008</v>
      </c>
      <c r="T4" s="34">
        <f>V4/R4*100</f>
        <v>152.46149962130778</v>
      </c>
      <c r="U4" s="34">
        <f>V4/N4</f>
        <v>27.869985000000003</v>
      </c>
      <c r="V4" s="34">
        <f>Y4-R4</f>
        <v>139.34992500000001</v>
      </c>
      <c r="W4" s="34">
        <v>0</v>
      </c>
      <c r="X4" s="34">
        <f>L4*(1-W4/100)</f>
        <v>46.15</v>
      </c>
      <c r="Y4" s="34">
        <f>X4*N4</f>
        <v>230.75</v>
      </c>
    </row>
    <row r="5" spans="1:25" ht="28.8" x14ac:dyDescent="0.3">
      <c r="A5" s="29" t="s">
        <v>26</v>
      </c>
      <c r="B5" s="41" t="s">
        <v>506</v>
      </c>
      <c r="C5" s="29" t="s">
        <v>18</v>
      </c>
      <c r="D5" s="71" t="s">
        <v>110</v>
      </c>
      <c r="E5" s="29" t="s">
        <v>30</v>
      </c>
      <c r="F5" s="31" t="s">
        <v>33</v>
      </c>
      <c r="G5" s="32" t="s">
        <v>43</v>
      </c>
      <c r="H5" s="29" t="s">
        <v>42</v>
      </c>
      <c r="I5" s="29">
        <v>15</v>
      </c>
      <c r="J5" s="29" t="s">
        <v>39</v>
      </c>
      <c r="K5" s="29">
        <v>60.39</v>
      </c>
      <c r="L5" s="29">
        <v>542.80999999999995</v>
      </c>
      <c r="N5" s="36">
        <v>12</v>
      </c>
      <c r="O5" s="29">
        <f>N5*L5</f>
        <v>6513.7199999999993</v>
      </c>
      <c r="P5" s="37">
        <v>60.39</v>
      </c>
      <c r="Q5" s="34">
        <f>L5*(1-P5/100)</f>
        <v>215.00704099999999</v>
      </c>
      <c r="R5" s="34">
        <f>Q5*N5</f>
        <v>2580.084492</v>
      </c>
      <c r="S5" s="34">
        <f>V5/Y5*100</f>
        <v>0</v>
      </c>
      <c r="T5" s="34">
        <f>V5/R5*100</f>
        <v>0</v>
      </c>
      <c r="U5" s="34">
        <f>V5/N5</f>
        <v>0</v>
      </c>
      <c r="V5" s="34">
        <f>Y5-R5</f>
        <v>0</v>
      </c>
      <c r="W5" s="34">
        <v>60.39</v>
      </c>
      <c r="X5" s="34">
        <f>L5*(1-W5/100)</f>
        <v>215.00704099999999</v>
      </c>
      <c r="Y5" s="34">
        <f>X5*N5</f>
        <v>2580.084492</v>
      </c>
    </row>
  </sheetData>
  <hyperlinks>
    <hyperlink ref="D2" r:id="rId1" display="https://gdtusa--intqa--stratavar.sandbox.vf.force.com/a06WD00000AYVIAYA5" xr:uid="{E718EA3B-8ED4-4B15-AF7B-8FF7BB78901F}"/>
    <hyperlink ref="D3:D5" r:id="rId2" display="https://gdtusa--intqa--stratavar.sandbox.vf.force.com/a06WD00000AYVIAYA5" xr:uid="{CDFF7689-C731-4D1F-B1D5-AE674BFDD13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1F41-929B-413B-B23F-79E3F404D8ED}">
  <dimension ref="A1:Z11"/>
  <sheetViews>
    <sheetView topLeftCell="L1" workbookViewId="0">
      <selection activeCell="AA3" sqref="AA3"/>
    </sheetView>
  </sheetViews>
  <sheetFormatPr defaultRowHeight="14.4" x14ac:dyDescent="0.3"/>
  <cols>
    <col min="26" max="26" width="15.33203125" customWidth="1"/>
  </cols>
  <sheetData>
    <row r="1" spans="1:26" ht="72.599999999999994" thickBot="1" x14ac:dyDescent="0.35">
      <c r="A1" s="153" t="s">
        <v>22</v>
      </c>
      <c r="B1" s="154" t="s">
        <v>62</v>
      </c>
      <c r="C1" s="155" t="s">
        <v>17</v>
      </c>
      <c r="D1" s="156" t="s">
        <v>41</v>
      </c>
      <c r="E1" s="157" t="s">
        <v>21</v>
      </c>
      <c r="F1" s="158" t="s">
        <v>27</v>
      </c>
      <c r="G1" s="159" t="s">
        <v>29</v>
      </c>
      <c r="H1" s="160" t="s">
        <v>28</v>
      </c>
      <c r="I1" s="161" t="s">
        <v>14</v>
      </c>
      <c r="J1" s="162" t="s">
        <v>590</v>
      </c>
      <c r="K1" s="162" t="s">
        <v>15</v>
      </c>
      <c r="L1" s="163" t="s">
        <v>16</v>
      </c>
      <c r="M1" s="161" t="s">
        <v>12</v>
      </c>
      <c r="N1" s="164" t="s">
        <v>107</v>
      </c>
      <c r="O1" s="165" t="s">
        <v>11</v>
      </c>
      <c r="P1" s="165" t="s">
        <v>10</v>
      </c>
      <c r="Q1" s="162" t="s">
        <v>0</v>
      </c>
      <c r="R1" s="162" t="s">
        <v>1</v>
      </c>
      <c r="S1" s="162" t="s">
        <v>2</v>
      </c>
      <c r="T1" s="162" t="s">
        <v>3</v>
      </c>
      <c r="U1" s="162" t="s">
        <v>4</v>
      </c>
      <c r="V1" s="162" t="s">
        <v>5</v>
      </c>
      <c r="W1" s="162" t="s">
        <v>6</v>
      </c>
      <c r="X1" s="162" t="s">
        <v>7</v>
      </c>
      <c r="Y1" s="162" t="s">
        <v>8</v>
      </c>
      <c r="Z1" s="163" t="s">
        <v>9</v>
      </c>
    </row>
    <row r="2" spans="1:26" ht="43.2" x14ac:dyDescent="0.3">
      <c r="A2" s="150" t="s">
        <v>561</v>
      </c>
      <c r="B2" s="149" t="s">
        <v>755</v>
      </c>
      <c r="C2" s="150" t="s">
        <v>18</v>
      </c>
      <c r="D2" s="151" t="s">
        <v>13</v>
      </c>
      <c r="E2" s="150" t="s">
        <v>30</v>
      </c>
      <c r="F2" s="166" t="s">
        <v>31</v>
      </c>
      <c r="G2" s="150" t="s">
        <v>65</v>
      </c>
      <c r="H2" s="150" t="s">
        <v>61</v>
      </c>
      <c r="I2" s="150">
        <v>0</v>
      </c>
      <c r="J2" s="150">
        <v>1</v>
      </c>
      <c r="K2" s="167" t="s">
        <v>39</v>
      </c>
      <c r="L2" s="150">
        <v>50</v>
      </c>
      <c r="M2" s="150">
        <v>6250</v>
      </c>
      <c r="N2" s="150"/>
      <c r="O2" s="150">
        <v>1</v>
      </c>
      <c r="P2" s="150">
        <v>6250</v>
      </c>
      <c r="Q2" s="168">
        <v>50</v>
      </c>
      <c r="R2" s="150">
        <v>3125</v>
      </c>
      <c r="S2" s="150">
        <v>3125</v>
      </c>
      <c r="T2" s="219">
        <v>60</v>
      </c>
      <c r="U2" s="150">
        <v>150</v>
      </c>
      <c r="V2" s="150">
        <v>4687.5</v>
      </c>
      <c r="W2" s="150">
        <v>4687.5</v>
      </c>
      <c r="X2" s="150">
        <v>-25</v>
      </c>
      <c r="Y2" s="150">
        <v>7812.5</v>
      </c>
      <c r="Z2" s="150">
        <v>7812.5</v>
      </c>
    </row>
    <row r="3" spans="1:26" ht="43.2" x14ac:dyDescent="0.3">
      <c r="A3" s="150" t="s">
        <v>562</v>
      </c>
      <c r="B3" s="149" t="s">
        <v>756</v>
      </c>
      <c r="C3" s="150" t="s">
        <v>18</v>
      </c>
      <c r="D3" s="151" t="s">
        <v>13</v>
      </c>
      <c r="E3" s="150" t="s">
        <v>30</v>
      </c>
      <c r="F3" s="166" t="s">
        <v>31</v>
      </c>
      <c r="G3" s="150" t="s">
        <v>65</v>
      </c>
      <c r="H3" s="150" t="s">
        <v>60</v>
      </c>
      <c r="I3" s="150">
        <v>0</v>
      </c>
      <c r="J3" s="150">
        <v>22</v>
      </c>
      <c r="K3" s="167" t="s">
        <v>39</v>
      </c>
      <c r="L3" s="150">
        <v>60</v>
      </c>
      <c r="M3" s="150">
        <v>36438.33</v>
      </c>
      <c r="N3" s="150">
        <v>1</v>
      </c>
      <c r="O3" s="150">
        <v>12</v>
      </c>
      <c r="P3" s="150">
        <v>437259.96</v>
      </c>
      <c r="Q3" s="168">
        <v>60</v>
      </c>
      <c r="R3" s="150">
        <v>14575.33</v>
      </c>
      <c r="S3" s="150">
        <v>174903.98</v>
      </c>
      <c r="T3" s="150">
        <v>62</v>
      </c>
      <c r="U3" s="150">
        <v>163.16</v>
      </c>
      <c r="V3" s="150">
        <v>23780.81</v>
      </c>
      <c r="W3" s="150">
        <v>285369.7</v>
      </c>
      <c r="X3" s="150">
        <v>-5.26</v>
      </c>
      <c r="Y3" s="150">
        <v>38356.14</v>
      </c>
      <c r="Z3" s="150">
        <f>Y3*O3</f>
        <v>460273.68</v>
      </c>
    </row>
    <row r="4" spans="1:26" ht="43.2" x14ac:dyDescent="0.3">
      <c r="A4" s="169" t="s">
        <v>563</v>
      </c>
      <c r="B4" s="149" t="s">
        <v>754</v>
      </c>
      <c r="C4" s="150" t="s">
        <v>18</v>
      </c>
      <c r="D4" s="170" t="s">
        <v>13</v>
      </c>
      <c r="E4" s="150" t="s">
        <v>30</v>
      </c>
      <c r="F4" s="166" t="s">
        <v>31</v>
      </c>
      <c r="G4" s="150" t="s">
        <v>65</v>
      </c>
      <c r="H4" s="150" t="s">
        <v>115</v>
      </c>
      <c r="I4" s="150">
        <v>0</v>
      </c>
      <c r="J4" s="150">
        <v>0</v>
      </c>
      <c r="K4" s="167" t="s">
        <v>51</v>
      </c>
      <c r="L4" s="150">
        <v>8.9</v>
      </c>
      <c r="M4" s="150">
        <v>55275</v>
      </c>
      <c r="N4" s="150"/>
      <c r="O4" s="150">
        <v>1</v>
      </c>
      <c r="P4" s="150">
        <v>55275</v>
      </c>
      <c r="Q4" s="150">
        <v>5</v>
      </c>
      <c r="R4" s="150">
        <v>52511.25</v>
      </c>
      <c r="S4" s="150">
        <v>52511.25</v>
      </c>
      <c r="T4" s="168">
        <v>8.9</v>
      </c>
      <c r="U4" s="150">
        <v>9.77</v>
      </c>
      <c r="V4" s="150">
        <v>5130.08</v>
      </c>
      <c r="W4" s="150">
        <v>5130.08</v>
      </c>
      <c r="X4" s="150">
        <v>-4.28</v>
      </c>
      <c r="Y4" s="150">
        <v>57641.33</v>
      </c>
      <c r="Z4" s="150">
        <v>57641.33</v>
      </c>
    </row>
    <row r="5" spans="1:26" ht="43.2" x14ac:dyDescent="0.3">
      <c r="A5" s="150" t="s">
        <v>582</v>
      </c>
      <c r="B5" s="149" t="s">
        <v>760</v>
      </c>
      <c r="C5" s="150" t="s">
        <v>18</v>
      </c>
      <c r="D5" s="170" t="s">
        <v>13</v>
      </c>
      <c r="E5" s="150" t="s">
        <v>30</v>
      </c>
      <c r="F5" s="166" t="s">
        <v>31</v>
      </c>
      <c r="G5" s="150" t="s">
        <v>65</v>
      </c>
      <c r="H5" s="150" t="s">
        <v>61</v>
      </c>
      <c r="I5" s="150">
        <v>1</v>
      </c>
      <c r="J5" s="150">
        <v>17</v>
      </c>
      <c r="K5" s="167" t="s">
        <v>46</v>
      </c>
      <c r="L5" s="150">
        <v>8532.8700000000008</v>
      </c>
      <c r="M5" s="168">
        <v>8532.8700000000008</v>
      </c>
      <c r="N5" s="168"/>
      <c r="O5" s="150">
        <v>16</v>
      </c>
      <c r="P5" s="150">
        <v>136525.92000000001</v>
      </c>
      <c r="Q5" s="169">
        <v>0</v>
      </c>
      <c r="R5" s="150">
        <v>8532.8700000000008</v>
      </c>
      <c r="S5" s="150">
        <v>136525.92000000001</v>
      </c>
      <c r="T5" s="171">
        <v>20</v>
      </c>
      <c r="U5" s="171">
        <v>25</v>
      </c>
      <c r="V5" s="150">
        <v>2133.2199999999998</v>
      </c>
      <c r="W5" s="150">
        <v>34131.519999999997</v>
      </c>
      <c r="X5" s="169">
        <v>-25</v>
      </c>
      <c r="Y5" s="150">
        <v>10666.09</v>
      </c>
      <c r="Z5" s="150">
        <v>170657.44</v>
      </c>
    </row>
    <row r="6" spans="1:26" ht="57.6" x14ac:dyDescent="0.3">
      <c r="A6" s="150" t="s">
        <v>583</v>
      </c>
      <c r="B6" s="149" t="s">
        <v>755</v>
      </c>
      <c r="C6" s="150" t="s">
        <v>18</v>
      </c>
      <c r="D6" s="150" t="s">
        <v>761</v>
      </c>
      <c r="E6" s="150" t="s">
        <v>30</v>
      </c>
      <c r="F6" s="150" t="s">
        <v>33</v>
      </c>
      <c r="G6" s="150" t="s">
        <v>43</v>
      </c>
      <c r="H6" s="150" t="s">
        <v>762</v>
      </c>
      <c r="I6" s="150">
        <v>0</v>
      </c>
      <c r="J6" s="150">
        <v>5</v>
      </c>
      <c r="K6" s="167" t="s">
        <v>55</v>
      </c>
      <c r="L6" s="150">
        <v>12.25</v>
      </c>
      <c r="M6" s="150">
        <v>206.8</v>
      </c>
      <c r="N6" s="150">
        <v>36</v>
      </c>
      <c r="O6" s="150">
        <v>1</v>
      </c>
      <c r="P6" s="150">
        <v>7444.8</v>
      </c>
      <c r="Q6" s="171">
        <v>50</v>
      </c>
      <c r="R6" s="150">
        <v>3722.4</v>
      </c>
      <c r="S6" s="150">
        <v>3722.4</v>
      </c>
      <c r="T6" s="169">
        <v>43.019943019999999</v>
      </c>
      <c r="U6" s="171">
        <v>75.5</v>
      </c>
      <c r="V6" s="150">
        <v>2810.4119999999998</v>
      </c>
      <c r="W6" s="150">
        <v>2810.41</v>
      </c>
      <c r="X6" s="168">
        <v>12.25</v>
      </c>
      <c r="Y6" s="150">
        <v>6532.81</v>
      </c>
      <c r="Z6" s="150">
        <v>6532.81</v>
      </c>
    </row>
    <row r="7" spans="1:26" ht="57.6" x14ac:dyDescent="0.3">
      <c r="A7" s="150" t="s">
        <v>584</v>
      </c>
      <c r="B7" s="149" t="s">
        <v>756</v>
      </c>
      <c r="C7" s="150" t="s">
        <v>18</v>
      </c>
      <c r="D7" s="150" t="s">
        <v>761</v>
      </c>
      <c r="E7" s="150" t="s">
        <v>30</v>
      </c>
      <c r="F7" s="150" t="s">
        <v>33</v>
      </c>
      <c r="G7" s="150" t="s">
        <v>43</v>
      </c>
      <c r="H7" s="150" t="s">
        <v>762</v>
      </c>
      <c r="I7" s="150">
        <v>0</v>
      </c>
      <c r="J7" s="150">
        <v>5</v>
      </c>
      <c r="K7" s="167" t="s">
        <v>56</v>
      </c>
      <c r="L7" s="150">
        <v>1299.98</v>
      </c>
      <c r="M7" s="150">
        <v>206.8</v>
      </c>
      <c r="N7" s="150">
        <v>36</v>
      </c>
      <c r="O7" s="150">
        <v>1</v>
      </c>
      <c r="P7" s="150">
        <v>7444.8</v>
      </c>
      <c r="Q7" s="172">
        <v>50</v>
      </c>
      <c r="R7" s="150">
        <v>3722.4</v>
      </c>
      <c r="S7" s="150">
        <v>3722.4</v>
      </c>
      <c r="T7" s="171">
        <v>-186.3428668</v>
      </c>
      <c r="U7" s="171">
        <v>-65.076832150000001</v>
      </c>
      <c r="V7" s="150">
        <v>-2422.42</v>
      </c>
      <c r="W7" s="150">
        <v>-2422.42</v>
      </c>
      <c r="X7" s="169">
        <v>82.54</v>
      </c>
      <c r="Y7" s="168">
        <v>1299.98</v>
      </c>
      <c r="Z7" s="150">
        <v>1299.98</v>
      </c>
    </row>
    <row r="8" spans="1:26" ht="57.6" x14ac:dyDescent="0.3">
      <c r="A8" s="150" t="s">
        <v>585</v>
      </c>
      <c r="B8" s="149" t="s">
        <v>754</v>
      </c>
      <c r="C8" s="150" t="s">
        <v>18</v>
      </c>
      <c r="D8" s="150" t="s">
        <v>761</v>
      </c>
      <c r="E8" s="150" t="s">
        <v>30</v>
      </c>
      <c r="F8" s="150" t="s">
        <v>33</v>
      </c>
      <c r="G8" s="150" t="s">
        <v>43</v>
      </c>
      <c r="H8" s="150" t="s">
        <v>762</v>
      </c>
      <c r="I8" s="150">
        <v>0</v>
      </c>
      <c r="J8" s="150">
        <v>5</v>
      </c>
      <c r="K8" s="167" t="s">
        <v>135</v>
      </c>
      <c r="L8" s="150">
        <v>72.739999999999995</v>
      </c>
      <c r="M8" s="150">
        <v>206.8</v>
      </c>
      <c r="N8" s="168">
        <v>72.739999999999995</v>
      </c>
      <c r="O8" s="169">
        <v>1</v>
      </c>
      <c r="P8" s="150">
        <v>15042.63</v>
      </c>
      <c r="Q8" s="169">
        <v>50</v>
      </c>
      <c r="R8" s="150">
        <v>7521.32</v>
      </c>
      <c r="S8" s="150">
        <v>7521.32</v>
      </c>
      <c r="T8" s="171">
        <v>5</v>
      </c>
      <c r="U8" s="171">
        <v>5.263157895</v>
      </c>
      <c r="V8" s="150">
        <v>395.7</v>
      </c>
      <c r="W8" s="150">
        <v>395.7</v>
      </c>
      <c r="X8" s="169">
        <v>47.37</v>
      </c>
      <c r="Y8" s="150">
        <v>7917.02</v>
      </c>
      <c r="Z8" s="150">
        <v>7917.02</v>
      </c>
    </row>
    <row r="9" spans="1:26" ht="43.2" x14ac:dyDescent="0.3">
      <c r="A9" s="150" t="s">
        <v>586</v>
      </c>
      <c r="B9" s="149" t="s">
        <v>759</v>
      </c>
      <c r="C9" s="150" t="s">
        <v>18</v>
      </c>
      <c r="D9" s="150" t="s">
        <v>110</v>
      </c>
      <c r="E9" s="150" t="s">
        <v>30</v>
      </c>
      <c r="F9" s="150" t="s">
        <v>33</v>
      </c>
      <c r="G9" s="150" t="s">
        <v>43</v>
      </c>
      <c r="H9" s="150" t="s">
        <v>173</v>
      </c>
      <c r="I9" s="150">
        <v>0</v>
      </c>
      <c r="J9" s="150">
        <v>0</v>
      </c>
      <c r="K9" s="173" t="s">
        <v>49</v>
      </c>
      <c r="L9" s="150">
        <v>369.96</v>
      </c>
      <c r="M9" s="169">
        <v>1225.1400000000001</v>
      </c>
      <c r="N9" s="169"/>
      <c r="O9" s="169">
        <v>5</v>
      </c>
      <c r="P9" s="150">
        <v>6125.7</v>
      </c>
      <c r="Q9" s="172">
        <v>69.802634800000007</v>
      </c>
      <c r="R9" s="168">
        <v>369.96</v>
      </c>
      <c r="S9" s="150">
        <v>1849.8</v>
      </c>
      <c r="T9" s="171">
        <v>21.61034008</v>
      </c>
      <c r="U9" s="169">
        <v>27.567845169999998</v>
      </c>
      <c r="V9" s="150">
        <v>101.99</v>
      </c>
      <c r="W9" s="150">
        <v>509.95</v>
      </c>
      <c r="X9" s="171">
        <v>61.48</v>
      </c>
      <c r="Y9" s="150">
        <v>471.95</v>
      </c>
      <c r="Z9" s="150">
        <v>2359.75</v>
      </c>
    </row>
    <row r="10" spans="1:26" ht="43.2" x14ac:dyDescent="0.3">
      <c r="A10" s="150" t="s">
        <v>587</v>
      </c>
      <c r="B10" s="149" t="s">
        <v>758</v>
      </c>
      <c r="C10" s="150" t="s">
        <v>18</v>
      </c>
      <c r="D10" s="150" t="s">
        <v>110</v>
      </c>
      <c r="E10" s="150" t="s">
        <v>30</v>
      </c>
      <c r="F10" s="150" t="s">
        <v>33</v>
      </c>
      <c r="G10" s="150" t="s">
        <v>43</v>
      </c>
      <c r="H10" s="150" t="s">
        <v>114</v>
      </c>
      <c r="I10" s="150">
        <v>0</v>
      </c>
      <c r="J10" s="150">
        <v>49</v>
      </c>
      <c r="K10" s="167" t="s">
        <v>52</v>
      </c>
      <c r="L10" s="150">
        <v>5.7364889999999997</v>
      </c>
      <c r="M10" s="150">
        <v>12213.63</v>
      </c>
      <c r="N10" s="150"/>
      <c r="O10" s="150">
        <v>2</v>
      </c>
      <c r="P10" s="150">
        <v>24427.26</v>
      </c>
      <c r="Q10" s="171">
        <v>10</v>
      </c>
      <c r="R10" s="150">
        <v>10992.27</v>
      </c>
      <c r="S10" s="150">
        <v>21984.53</v>
      </c>
      <c r="T10" s="171">
        <v>5.4252690379999997</v>
      </c>
      <c r="U10" s="168">
        <v>5.7364889999999997</v>
      </c>
      <c r="V10" s="150">
        <v>630.57000000000005</v>
      </c>
      <c r="W10" s="150">
        <v>1261.1500000000001</v>
      </c>
      <c r="X10" s="169">
        <v>4.84</v>
      </c>
      <c r="Y10" s="150">
        <v>11622.84</v>
      </c>
      <c r="Z10" s="150">
        <v>23245.68</v>
      </c>
    </row>
    <row r="11" spans="1:26" ht="43.2" x14ac:dyDescent="0.3">
      <c r="A11" s="150" t="s">
        <v>588</v>
      </c>
      <c r="B11" s="149" t="s">
        <v>756</v>
      </c>
      <c r="C11" s="150" t="s">
        <v>18</v>
      </c>
      <c r="D11" s="150" t="s">
        <v>110</v>
      </c>
      <c r="E11" s="150" t="s">
        <v>30</v>
      </c>
      <c r="F11" s="150" t="s">
        <v>33</v>
      </c>
      <c r="G11" s="150" t="s">
        <v>43</v>
      </c>
      <c r="H11" s="150" t="s">
        <v>114</v>
      </c>
      <c r="I11" s="150">
        <v>0</v>
      </c>
      <c r="J11" s="150">
        <v>49</v>
      </c>
      <c r="K11" s="167" t="s">
        <v>53</v>
      </c>
      <c r="L11" s="150">
        <v>989.56</v>
      </c>
      <c r="M11" s="150">
        <v>12213.63</v>
      </c>
      <c r="N11" s="150"/>
      <c r="O11" s="150">
        <v>2</v>
      </c>
      <c r="P11" s="150">
        <v>24427.26</v>
      </c>
      <c r="Q11" s="171">
        <v>10</v>
      </c>
      <c r="R11" s="150">
        <v>10992.27</v>
      </c>
      <c r="S11" s="150">
        <v>21984.53</v>
      </c>
      <c r="T11" s="150">
        <v>8.2588406590000005</v>
      </c>
      <c r="U11" s="150">
        <v>9.0023286369999997</v>
      </c>
      <c r="V11" s="168">
        <v>989.56</v>
      </c>
      <c r="W11" s="150">
        <v>1979.12</v>
      </c>
      <c r="X11" s="171">
        <v>1.9</v>
      </c>
      <c r="Y11" s="150">
        <v>11981.83</v>
      </c>
      <c r="Z11" s="150">
        <v>23963.66</v>
      </c>
    </row>
  </sheetData>
  <hyperlinks>
    <hyperlink ref="D4" r:id="rId1" display="https://st1723635638241--stratavar.vf.force.com/a8Fbn000001CRgbEAG" xr:uid="{95FED992-8415-494B-B1D9-E37B8A3D3EE4}"/>
    <hyperlink ref="D5" r:id="rId2" display="https://st1723635638241--stratavar.vf.force.com/a8Fbn000001CRgbEAG" xr:uid="{0C0B5521-F8D4-4E47-95EA-3ED9FC79606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B944-BB54-43DD-9FC9-20668F1EFE23}">
  <dimension ref="A1:Z11"/>
  <sheetViews>
    <sheetView workbookViewId="0">
      <selection activeCell="L22" sqref="L22"/>
    </sheetView>
  </sheetViews>
  <sheetFormatPr defaultRowHeight="14.4" x14ac:dyDescent="0.3"/>
  <sheetData>
    <row r="1" spans="1:26" ht="72.599999999999994" thickBot="1" x14ac:dyDescent="0.35">
      <c r="A1" s="153" t="s">
        <v>22</v>
      </c>
      <c r="B1" s="154" t="s">
        <v>62</v>
      </c>
      <c r="C1" s="155" t="s">
        <v>17</v>
      </c>
      <c r="D1" s="156" t="s">
        <v>41</v>
      </c>
      <c r="E1" s="157" t="s">
        <v>21</v>
      </c>
      <c r="F1" s="158" t="s">
        <v>27</v>
      </c>
      <c r="G1" s="159" t="s">
        <v>29</v>
      </c>
      <c r="H1" s="160" t="s">
        <v>28</v>
      </c>
      <c r="I1" s="161" t="s">
        <v>14</v>
      </c>
      <c r="J1" s="162" t="s">
        <v>590</v>
      </c>
      <c r="K1" s="162" t="s">
        <v>15</v>
      </c>
      <c r="L1" s="163" t="s">
        <v>16</v>
      </c>
      <c r="M1" s="161" t="s">
        <v>12</v>
      </c>
      <c r="N1" s="164" t="s">
        <v>107</v>
      </c>
      <c r="O1" s="165" t="s">
        <v>11</v>
      </c>
      <c r="P1" s="165" t="s">
        <v>10</v>
      </c>
      <c r="Q1" s="162" t="s">
        <v>0</v>
      </c>
      <c r="R1" s="162" t="s">
        <v>1</v>
      </c>
      <c r="S1" s="162" t="s">
        <v>2</v>
      </c>
      <c r="T1" s="162" t="s">
        <v>3</v>
      </c>
      <c r="U1" s="162" t="s">
        <v>4</v>
      </c>
      <c r="V1" s="162" t="s">
        <v>5</v>
      </c>
      <c r="W1" s="162" t="s">
        <v>6</v>
      </c>
      <c r="X1" s="162" t="s">
        <v>7</v>
      </c>
      <c r="Y1" s="162" t="s">
        <v>8</v>
      </c>
      <c r="Z1" s="163" t="s">
        <v>9</v>
      </c>
    </row>
    <row r="2" spans="1:26" ht="43.2" x14ac:dyDescent="0.3">
      <c r="A2" s="150" t="s">
        <v>561</v>
      </c>
      <c r="B2" s="149" t="s">
        <v>804</v>
      </c>
      <c r="C2" s="150" t="s">
        <v>18</v>
      </c>
      <c r="D2" s="151" t="s">
        <v>13</v>
      </c>
      <c r="E2" s="150" t="s">
        <v>30</v>
      </c>
      <c r="F2" s="166" t="s">
        <v>31</v>
      </c>
      <c r="G2" s="150" t="s">
        <v>65</v>
      </c>
      <c r="H2" s="150" t="s">
        <v>61</v>
      </c>
      <c r="I2" s="150">
        <v>0</v>
      </c>
      <c r="J2" s="150">
        <v>1</v>
      </c>
      <c r="K2" s="167" t="s">
        <v>39</v>
      </c>
      <c r="L2" s="150">
        <v>50</v>
      </c>
      <c r="M2" s="150">
        <v>6250</v>
      </c>
      <c r="N2" s="150"/>
      <c r="O2" s="150">
        <v>1</v>
      </c>
      <c r="P2" s="150">
        <v>6250</v>
      </c>
      <c r="Q2" s="168">
        <v>50</v>
      </c>
      <c r="R2" s="150">
        <v>3125</v>
      </c>
      <c r="S2" s="150">
        <v>3125</v>
      </c>
      <c r="T2" s="219">
        <v>0.6</v>
      </c>
      <c r="U2" s="150">
        <v>150</v>
      </c>
      <c r="V2" s="150">
        <v>4687.5</v>
      </c>
      <c r="W2" s="150">
        <v>4687.5</v>
      </c>
      <c r="X2" s="150">
        <v>-25</v>
      </c>
      <c r="Y2" s="150">
        <v>7812.5</v>
      </c>
      <c r="Z2" s="150">
        <v>7812.5</v>
      </c>
    </row>
    <row r="3" spans="1:26" ht="43.2" x14ac:dyDescent="0.3">
      <c r="A3" s="150" t="s">
        <v>562</v>
      </c>
      <c r="B3" s="149" t="s">
        <v>803</v>
      </c>
      <c r="C3" s="150" t="s">
        <v>18</v>
      </c>
      <c r="D3" s="151" t="s">
        <v>13</v>
      </c>
      <c r="E3" s="150" t="s">
        <v>30</v>
      </c>
      <c r="F3" s="166" t="s">
        <v>31</v>
      </c>
      <c r="G3" s="150" t="s">
        <v>65</v>
      </c>
      <c r="H3" s="150" t="s">
        <v>60</v>
      </c>
      <c r="I3" s="150">
        <v>0</v>
      </c>
      <c r="J3" s="150">
        <v>13</v>
      </c>
      <c r="K3" s="167" t="s">
        <v>39</v>
      </c>
      <c r="L3" s="150">
        <v>60</v>
      </c>
      <c r="M3" s="150">
        <v>36438.33</v>
      </c>
      <c r="N3" s="150">
        <v>1</v>
      </c>
      <c r="O3" s="150">
        <v>12</v>
      </c>
      <c r="P3" s="150">
        <v>437259.96</v>
      </c>
      <c r="Q3" s="168">
        <v>60</v>
      </c>
      <c r="R3" s="150">
        <v>14575.33</v>
      </c>
      <c r="S3" s="150">
        <v>174903.98</v>
      </c>
      <c r="T3" s="150">
        <v>62</v>
      </c>
      <c r="U3" s="150">
        <v>163.16</v>
      </c>
      <c r="V3" s="150">
        <v>23780.81</v>
      </c>
      <c r="W3" s="150">
        <v>285369.7</v>
      </c>
      <c r="X3" s="150">
        <v>-5.26</v>
      </c>
      <c r="Y3" s="150">
        <v>38356.14</v>
      </c>
      <c r="Z3" s="150">
        <v>460273.64</v>
      </c>
    </row>
    <row r="4" spans="1:26" ht="43.2" x14ac:dyDescent="0.3">
      <c r="A4" s="169" t="s">
        <v>563</v>
      </c>
      <c r="B4" s="149" t="s">
        <v>802</v>
      </c>
      <c r="C4" s="150" t="s">
        <v>18</v>
      </c>
      <c r="D4" s="170" t="s">
        <v>13</v>
      </c>
      <c r="E4" s="150" t="s">
        <v>30</v>
      </c>
      <c r="F4" s="166" t="s">
        <v>31</v>
      </c>
      <c r="G4" s="150" t="s">
        <v>65</v>
      </c>
      <c r="H4" s="150" t="s">
        <v>115</v>
      </c>
      <c r="I4" s="150">
        <v>0</v>
      </c>
      <c r="J4" s="150">
        <v>0</v>
      </c>
      <c r="K4" s="167" t="s">
        <v>51</v>
      </c>
      <c r="L4" s="150">
        <v>8.9</v>
      </c>
      <c r="M4" s="150">
        <v>55275</v>
      </c>
      <c r="N4" s="150"/>
      <c r="O4" s="150">
        <v>1</v>
      </c>
      <c r="P4" s="150">
        <v>55275</v>
      </c>
      <c r="Q4" s="150">
        <v>5</v>
      </c>
      <c r="R4" s="150">
        <v>52511.25</v>
      </c>
      <c r="S4" s="150">
        <v>52511.25</v>
      </c>
      <c r="T4" s="168">
        <v>8.9</v>
      </c>
      <c r="U4" s="150">
        <v>9.77</v>
      </c>
      <c r="V4" s="150">
        <v>5130.08</v>
      </c>
      <c r="W4" s="150">
        <v>5130.08</v>
      </c>
      <c r="X4" s="150">
        <v>-4.28</v>
      </c>
      <c r="Y4" s="150">
        <v>57641.33</v>
      </c>
      <c r="Z4" s="150">
        <v>57641.33</v>
      </c>
    </row>
    <row r="5" spans="1:26" ht="43.2" x14ac:dyDescent="0.3">
      <c r="A5" s="150" t="s">
        <v>582</v>
      </c>
      <c r="B5" s="149" t="s">
        <v>801</v>
      </c>
      <c r="C5" s="150" t="s">
        <v>18</v>
      </c>
      <c r="D5" s="170" t="s">
        <v>13</v>
      </c>
      <c r="E5" s="150" t="s">
        <v>30</v>
      </c>
      <c r="F5" s="166" t="s">
        <v>31</v>
      </c>
      <c r="G5" s="150" t="s">
        <v>65</v>
      </c>
      <c r="H5" s="150" t="s">
        <v>61</v>
      </c>
      <c r="I5" s="150">
        <v>1</v>
      </c>
      <c r="J5" s="150">
        <v>21</v>
      </c>
      <c r="K5" s="167" t="s">
        <v>46</v>
      </c>
      <c r="L5" s="150">
        <v>8532.8700000000008</v>
      </c>
      <c r="M5" s="168">
        <v>8532.8700000000008</v>
      </c>
      <c r="N5" s="168"/>
      <c r="O5" s="150">
        <v>16</v>
      </c>
      <c r="P5" s="150">
        <v>136525.92000000001</v>
      </c>
      <c r="Q5" s="169">
        <v>0</v>
      </c>
      <c r="R5" s="150">
        <v>8532.8700000000008</v>
      </c>
      <c r="S5" s="150">
        <v>136525.92000000001</v>
      </c>
      <c r="T5" s="171">
        <v>20</v>
      </c>
      <c r="U5" s="171">
        <v>25</v>
      </c>
      <c r="V5" s="150">
        <v>2133.2199999999998</v>
      </c>
      <c r="W5" s="150">
        <v>34131.519999999997</v>
      </c>
      <c r="X5" s="169">
        <v>-25</v>
      </c>
      <c r="Y5" s="150">
        <v>10666.09</v>
      </c>
      <c r="Z5" s="150">
        <v>170657.44</v>
      </c>
    </row>
    <row r="6" spans="1:26" ht="57.6" x14ac:dyDescent="0.3">
      <c r="A6" s="150" t="s">
        <v>583</v>
      </c>
      <c r="B6" s="149" t="s">
        <v>800</v>
      </c>
      <c r="C6" s="150" t="s">
        <v>18</v>
      </c>
      <c r="D6" s="150" t="s">
        <v>805</v>
      </c>
      <c r="E6" s="150" t="s">
        <v>30</v>
      </c>
      <c r="F6" s="150" t="s">
        <v>33</v>
      </c>
      <c r="G6" s="150" t="s">
        <v>65</v>
      </c>
      <c r="H6" s="150" t="s">
        <v>806</v>
      </c>
      <c r="I6" s="150">
        <v>0</v>
      </c>
      <c r="J6" s="150">
        <v>2</v>
      </c>
      <c r="K6" s="167" t="s">
        <v>55</v>
      </c>
      <c r="L6" s="150">
        <v>12.25</v>
      </c>
      <c r="M6" s="150">
        <v>40.33</v>
      </c>
      <c r="N6" s="150">
        <v>36</v>
      </c>
      <c r="O6" s="150">
        <v>5</v>
      </c>
      <c r="P6" s="150">
        <v>7258.68</v>
      </c>
      <c r="Q6" s="171">
        <v>78.260000000000005</v>
      </c>
      <c r="R6" s="150">
        <v>315.61</v>
      </c>
      <c r="S6" s="150">
        <v>1578.05</v>
      </c>
      <c r="T6" s="169">
        <v>75.22</v>
      </c>
      <c r="U6" s="169">
        <v>303.63</v>
      </c>
      <c r="V6" s="150">
        <v>958.29</v>
      </c>
      <c r="W6" s="150">
        <v>4791.45</v>
      </c>
      <c r="X6" s="168">
        <v>12.25</v>
      </c>
      <c r="Y6" s="150">
        <v>1273.9000000000001</v>
      </c>
      <c r="Z6" s="150">
        <v>6369.5</v>
      </c>
    </row>
    <row r="7" spans="1:26" ht="57.6" x14ac:dyDescent="0.3">
      <c r="A7" s="150" t="s">
        <v>584</v>
      </c>
      <c r="B7" s="149" t="s">
        <v>799</v>
      </c>
      <c r="C7" s="150" t="s">
        <v>18</v>
      </c>
      <c r="D7" s="150" t="s">
        <v>805</v>
      </c>
      <c r="E7" s="150" t="s">
        <v>30</v>
      </c>
      <c r="F7" s="150" t="s">
        <v>33</v>
      </c>
      <c r="G7" s="150" t="s">
        <v>65</v>
      </c>
      <c r="H7" s="150" t="s">
        <v>806</v>
      </c>
      <c r="I7" s="150">
        <v>0</v>
      </c>
      <c r="J7" s="150">
        <v>2</v>
      </c>
      <c r="K7" s="167" t="s">
        <v>56</v>
      </c>
      <c r="L7" s="150">
        <v>1299.98</v>
      </c>
      <c r="M7" s="150">
        <v>40.33</v>
      </c>
      <c r="N7" s="150">
        <v>36</v>
      </c>
      <c r="O7" s="150">
        <v>5</v>
      </c>
      <c r="P7" s="150">
        <v>7258.68</v>
      </c>
      <c r="Q7" s="171">
        <v>78.260000000000005</v>
      </c>
      <c r="R7" s="150">
        <v>315.61</v>
      </c>
      <c r="S7" s="150">
        <v>1578.05</v>
      </c>
      <c r="T7" s="169">
        <v>75.72</v>
      </c>
      <c r="U7" s="169">
        <v>311.89</v>
      </c>
      <c r="V7" s="150">
        <v>984.37</v>
      </c>
      <c r="W7" s="150">
        <v>4921.8500000000004</v>
      </c>
      <c r="X7" s="169">
        <v>10.453415769999999</v>
      </c>
      <c r="Y7" s="168">
        <v>1299.98</v>
      </c>
      <c r="Z7" s="150">
        <v>6499.9</v>
      </c>
    </row>
    <row r="8" spans="1:26" ht="57.6" x14ac:dyDescent="0.3">
      <c r="A8" s="150" t="s">
        <v>585</v>
      </c>
      <c r="B8" s="149" t="s">
        <v>804</v>
      </c>
      <c r="C8" s="150" t="s">
        <v>18</v>
      </c>
      <c r="D8" s="150" t="s">
        <v>805</v>
      </c>
      <c r="E8" s="150" t="s">
        <v>30</v>
      </c>
      <c r="F8" s="150" t="s">
        <v>33</v>
      </c>
      <c r="G8" s="150" t="s">
        <v>65</v>
      </c>
      <c r="H8" s="150" t="s">
        <v>806</v>
      </c>
      <c r="I8" s="150">
        <v>0</v>
      </c>
      <c r="J8" s="150">
        <v>2</v>
      </c>
      <c r="K8" s="167" t="s">
        <v>135</v>
      </c>
      <c r="L8" s="150">
        <v>72.739999999999995</v>
      </c>
      <c r="M8" s="150">
        <v>40.33</v>
      </c>
      <c r="N8" s="168">
        <v>72.739999999999995</v>
      </c>
      <c r="O8" s="150">
        <v>5</v>
      </c>
      <c r="P8" s="150">
        <v>14666.57</v>
      </c>
      <c r="Q8" s="171">
        <v>78.260000000000005</v>
      </c>
      <c r="R8" s="150">
        <v>637.70000000000005</v>
      </c>
      <c r="S8" s="150">
        <v>3188.5</v>
      </c>
      <c r="T8" s="169">
        <v>49.63</v>
      </c>
      <c r="U8" s="169">
        <v>98.52</v>
      </c>
      <c r="V8" s="150">
        <v>628.26</v>
      </c>
      <c r="W8" s="150">
        <v>3141.3</v>
      </c>
      <c r="X8" s="169">
        <v>56.84197709</v>
      </c>
      <c r="Y8" s="150">
        <v>1265.96</v>
      </c>
      <c r="Z8" s="150">
        <v>6329.8</v>
      </c>
    </row>
    <row r="9" spans="1:26" ht="43.2" x14ac:dyDescent="0.3">
      <c r="A9" s="150" t="s">
        <v>586</v>
      </c>
      <c r="B9" s="149" t="s">
        <v>803</v>
      </c>
      <c r="C9" s="150" t="s">
        <v>18</v>
      </c>
      <c r="D9" s="150" t="s">
        <v>110</v>
      </c>
      <c r="E9" s="150" t="s">
        <v>30</v>
      </c>
      <c r="F9" s="150" t="s">
        <v>33</v>
      </c>
      <c r="G9" s="150" t="s">
        <v>43</v>
      </c>
      <c r="H9" s="150" t="s">
        <v>173</v>
      </c>
      <c r="I9" s="150">
        <v>0</v>
      </c>
      <c r="J9" s="150">
        <v>0</v>
      </c>
      <c r="K9" s="173" t="s">
        <v>49</v>
      </c>
      <c r="L9" s="150">
        <v>369.96</v>
      </c>
      <c r="M9" s="169">
        <v>1225.1400000000001</v>
      </c>
      <c r="N9" s="169"/>
      <c r="O9" s="169">
        <v>5</v>
      </c>
      <c r="P9" s="150">
        <v>6125.7</v>
      </c>
      <c r="Q9" s="172">
        <v>69.802634800000007</v>
      </c>
      <c r="R9" s="168">
        <v>369.96</v>
      </c>
      <c r="S9" s="150">
        <v>1849.8</v>
      </c>
      <c r="T9" s="171">
        <v>21.61034008</v>
      </c>
      <c r="U9" s="169">
        <v>27.567845169999998</v>
      </c>
      <c r="V9" s="150">
        <v>101.99</v>
      </c>
      <c r="W9" s="150">
        <v>509.95</v>
      </c>
      <c r="X9" s="171">
        <v>61.48</v>
      </c>
      <c r="Y9" s="150">
        <v>471.95</v>
      </c>
      <c r="Z9" s="150">
        <v>2359.75</v>
      </c>
    </row>
    <row r="10" spans="1:26" ht="43.2" x14ac:dyDescent="0.3">
      <c r="A10" s="150" t="s">
        <v>587</v>
      </c>
      <c r="B10" s="149" t="s">
        <v>801</v>
      </c>
      <c r="C10" s="150" t="s">
        <v>18</v>
      </c>
      <c r="D10" s="150" t="s">
        <v>110</v>
      </c>
      <c r="E10" s="150" t="s">
        <v>30</v>
      </c>
      <c r="F10" s="150" t="s">
        <v>33</v>
      </c>
      <c r="G10" s="150" t="s">
        <v>43</v>
      </c>
      <c r="H10" s="150" t="s">
        <v>114</v>
      </c>
      <c r="I10" s="150">
        <v>0</v>
      </c>
      <c r="J10" s="150">
        <v>49</v>
      </c>
      <c r="K10" s="167" t="s">
        <v>52</v>
      </c>
      <c r="L10" s="150">
        <v>5.7364889999999997</v>
      </c>
      <c r="M10" s="150">
        <v>12213.63</v>
      </c>
      <c r="N10" s="150"/>
      <c r="O10" s="150">
        <v>2</v>
      </c>
      <c r="P10" s="150">
        <v>24427.26</v>
      </c>
      <c r="Q10" s="171">
        <v>10</v>
      </c>
      <c r="R10" s="150">
        <v>10992.27</v>
      </c>
      <c r="S10" s="150">
        <v>21984.53</v>
      </c>
      <c r="T10" s="171">
        <v>5.4252690379999997</v>
      </c>
      <c r="U10" s="168">
        <v>5.7364889999999997</v>
      </c>
      <c r="V10" s="150">
        <v>630.57000000000005</v>
      </c>
      <c r="W10" s="150">
        <v>1261.1500000000001</v>
      </c>
      <c r="X10" s="169">
        <v>4.84</v>
      </c>
      <c r="Y10" s="150">
        <v>11622.84</v>
      </c>
      <c r="Z10" s="150">
        <v>23245.68</v>
      </c>
    </row>
    <row r="11" spans="1:26" ht="43.2" x14ac:dyDescent="0.3">
      <c r="A11" s="150" t="s">
        <v>588</v>
      </c>
      <c r="B11" s="149" t="s">
        <v>799</v>
      </c>
      <c r="C11" s="150" t="s">
        <v>18</v>
      </c>
      <c r="D11" s="150" t="s">
        <v>110</v>
      </c>
      <c r="E11" s="150" t="s">
        <v>30</v>
      </c>
      <c r="F11" s="150" t="s">
        <v>33</v>
      </c>
      <c r="G11" s="150" t="s">
        <v>43</v>
      </c>
      <c r="H11" s="150" t="s">
        <v>114</v>
      </c>
      <c r="I11" s="150">
        <v>0</v>
      </c>
      <c r="J11" s="150">
        <v>49</v>
      </c>
      <c r="K11" s="167" t="s">
        <v>53</v>
      </c>
      <c r="L11" s="150">
        <v>989.56</v>
      </c>
      <c r="M11" s="150">
        <v>12213.63</v>
      </c>
      <c r="N11" s="150"/>
      <c r="O11" s="150">
        <v>2</v>
      </c>
      <c r="P11" s="150">
        <v>24427.26</v>
      </c>
      <c r="Q11" s="171">
        <v>10</v>
      </c>
      <c r="R11" s="150">
        <v>10992.27</v>
      </c>
      <c r="S11" s="150">
        <v>21984.53</v>
      </c>
      <c r="T11" s="150">
        <v>8.2588406590000005</v>
      </c>
      <c r="U11" s="150">
        <v>9.0023286369999997</v>
      </c>
      <c r="V11" s="168">
        <v>989.56</v>
      </c>
      <c r="W11" s="150">
        <v>1979.12</v>
      </c>
      <c r="X11" s="171">
        <v>1.9</v>
      </c>
      <c r="Y11" s="150">
        <v>11981.83</v>
      </c>
      <c r="Z11" s="150">
        <v>23963.66</v>
      </c>
    </row>
  </sheetData>
  <hyperlinks>
    <hyperlink ref="D4" r:id="rId1" display="https://st1723635638241--stratavar.vf.force.com/a8Fbn000001CRgbEAG" xr:uid="{5B05A93F-2437-4F14-BAF0-281258A3CDA2}"/>
    <hyperlink ref="D5" r:id="rId2" display="https://st1723635638241--stratavar.vf.force.com/a8Fbn000001CRgbEAG" xr:uid="{60F3E25A-30DD-41D8-8C27-38FD0BD4FD6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2D55-F04D-41E5-9B59-B5B244D42E4C}">
  <dimension ref="A1:AA11"/>
  <sheetViews>
    <sheetView workbookViewId="0">
      <selection activeCell="K15" sqref="K15"/>
    </sheetView>
  </sheetViews>
  <sheetFormatPr defaultRowHeight="14.4" x14ac:dyDescent="0.3"/>
  <sheetData>
    <row r="1" spans="1:27" ht="58.2" thickBot="1" x14ac:dyDescent="0.35">
      <c r="A1" s="174" t="s">
        <v>22</v>
      </c>
      <c r="B1" s="175" t="s">
        <v>62</v>
      </c>
      <c r="C1" s="176" t="s">
        <v>17</v>
      </c>
      <c r="D1" s="177" t="s">
        <v>41</v>
      </c>
      <c r="E1" s="178" t="s">
        <v>21</v>
      </c>
      <c r="F1" s="179" t="s">
        <v>66</v>
      </c>
      <c r="G1" s="180" t="s">
        <v>27</v>
      </c>
      <c r="H1" s="181" t="s">
        <v>29</v>
      </c>
      <c r="I1" s="182" t="s">
        <v>28</v>
      </c>
      <c r="J1" s="181" t="s">
        <v>68</v>
      </c>
      <c r="K1" s="183" t="s">
        <v>34</v>
      </c>
      <c r="L1" s="184" t="s">
        <v>35</v>
      </c>
      <c r="M1" s="185" t="s">
        <v>36</v>
      </c>
      <c r="N1" s="144" t="s">
        <v>14</v>
      </c>
      <c r="O1" s="144" t="s">
        <v>46</v>
      </c>
      <c r="P1" s="186" t="s">
        <v>40</v>
      </c>
      <c r="Q1" s="186" t="s">
        <v>48</v>
      </c>
      <c r="R1" s="187" t="s">
        <v>39</v>
      </c>
      <c r="S1" s="187" t="s">
        <v>49</v>
      </c>
      <c r="T1" s="187" t="s">
        <v>50</v>
      </c>
      <c r="U1" s="187" t="s">
        <v>51</v>
      </c>
      <c r="V1" s="187" t="s">
        <v>52</v>
      </c>
      <c r="W1" s="187" t="s">
        <v>53</v>
      </c>
      <c r="X1" s="187" t="s">
        <v>54</v>
      </c>
      <c r="Y1" s="187" t="s">
        <v>55</v>
      </c>
      <c r="Z1" s="187" t="s">
        <v>56</v>
      </c>
      <c r="AA1" s="145" t="s">
        <v>57</v>
      </c>
    </row>
    <row r="2" spans="1:27" ht="28.8" x14ac:dyDescent="0.3">
      <c r="A2" s="188" t="s">
        <v>564</v>
      </c>
      <c r="B2" s="65" t="s">
        <v>760</v>
      </c>
      <c r="C2" s="88" t="s">
        <v>18</v>
      </c>
      <c r="D2" s="189" t="s">
        <v>13</v>
      </c>
      <c r="E2" s="188" t="s">
        <v>30</v>
      </c>
      <c r="F2" s="188"/>
      <c r="G2" s="31" t="s">
        <v>33</v>
      </c>
      <c r="H2" s="88" t="s">
        <v>43</v>
      </c>
      <c r="I2" s="88" t="s">
        <v>32</v>
      </c>
      <c r="J2" s="88"/>
      <c r="K2" s="190" t="s">
        <v>45</v>
      </c>
      <c r="L2" s="190" t="s">
        <v>38</v>
      </c>
      <c r="M2" s="190">
        <v>12</v>
      </c>
      <c r="N2" s="190" t="s">
        <v>44</v>
      </c>
      <c r="O2" s="88">
        <v>60031.199999999997</v>
      </c>
      <c r="P2" s="88">
        <v>10</v>
      </c>
      <c r="Q2" s="88">
        <v>600312</v>
      </c>
      <c r="R2" s="35">
        <v>12</v>
      </c>
      <c r="S2" s="88">
        <v>52827.46</v>
      </c>
      <c r="T2" s="88">
        <v>528274.56000000006</v>
      </c>
      <c r="U2" s="88">
        <v>12</v>
      </c>
      <c r="V2" s="88">
        <v>13.64</v>
      </c>
      <c r="W2" s="88">
        <v>7203.74</v>
      </c>
      <c r="X2" s="88">
        <v>72037.440000000002</v>
      </c>
      <c r="Y2" s="88">
        <v>0</v>
      </c>
      <c r="Z2" s="88">
        <v>60031.199999999997</v>
      </c>
      <c r="AA2" s="88">
        <v>600312</v>
      </c>
    </row>
    <row r="3" spans="1:27" x14ac:dyDescent="0.3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88">
        <v>36159</v>
      </c>
      <c r="P3" s="88">
        <v>16</v>
      </c>
      <c r="Q3" s="88">
        <v>578544</v>
      </c>
      <c r="R3" s="35">
        <v>12</v>
      </c>
      <c r="S3" s="88">
        <v>31819.919999999998</v>
      </c>
      <c r="T3" s="88">
        <v>509118.71999999997</v>
      </c>
      <c r="U3" s="88">
        <v>12</v>
      </c>
      <c r="V3" s="88">
        <v>13.64</v>
      </c>
      <c r="W3" s="88">
        <v>4339.08</v>
      </c>
      <c r="X3" s="88">
        <v>69425.279999999999</v>
      </c>
      <c r="Y3" s="88">
        <v>0</v>
      </c>
      <c r="Z3" s="88">
        <v>36159</v>
      </c>
      <c r="AA3" s="88">
        <v>578544</v>
      </c>
    </row>
    <row r="4" spans="1:27" x14ac:dyDescent="0.3">
      <c r="A4" s="149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88">
        <v>29919.95</v>
      </c>
      <c r="P4" s="88">
        <v>12</v>
      </c>
      <c r="Q4" s="88">
        <v>359039.4</v>
      </c>
      <c r="R4" s="35">
        <v>12</v>
      </c>
      <c r="S4" s="88">
        <v>26329.56</v>
      </c>
      <c r="T4" s="88">
        <v>315954.67</v>
      </c>
      <c r="U4" s="88">
        <v>12</v>
      </c>
      <c r="V4" s="150">
        <v>13.64</v>
      </c>
      <c r="W4" s="88">
        <v>3590.39</v>
      </c>
      <c r="X4" s="88">
        <v>43084.73</v>
      </c>
      <c r="Y4" s="88">
        <v>0</v>
      </c>
      <c r="Z4" s="88">
        <v>29919.95</v>
      </c>
      <c r="AA4" s="88">
        <v>359039.4</v>
      </c>
    </row>
    <row r="5" spans="1:27" ht="28.8" x14ac:dyDescent="0.3">
      <c r="A5" s="190" t="s">
        <v>565</v>
      </c>
      <c r="B5" s="65" t="s">
        <v>759</v>
      </c>
      <c r="C5" s="88" t="s">
        <v>18</v>
      </c>
      <c r="D5" s="189" t="s">
        <v>13</v>
      </c>
      <c r="E5" s="188" t="s">
        <v>30</v>
      </c>
      <c r="F5" s="188"/>
      <c r="G5" s="31" t="s">
        <v>33</v>
      </c>
      <c r="H5" s="88" t="s">
        <v>43</v>
      </c>
      <c r="I5" s="88" t="s">
        <v>32</v>
      </c>
      <c r="J5" s="88"/>
      <c r="K5" s="190" t="s">
        <v>37</v>
      </c>
      <c r="L5" s="190" t="s">
        <v>38</v>
      </c>
      <c r="M5" s="190">
        <v>5000</v>
      </c>
      <c r="N5" s="190" t="s">
        <v>75</v>
      </c>
      <c r="O5" s="88">
        <v>60031.199999999997</v>
      </c>
      <c r="P5" s="35">
        <v>5000</v>
      </c>
      <c r="Q5" s="88">
        <v>300156000</v>
      </c>
      <c r="R5" s="88">
        <v>70.989999999999995</v>
      </c>
      <c r="S5" s="88">
        <v>17415.28</v>
      </c>
      <c r="T5" s="88">
        <v>87076400</v>
      </c>
      <c r="U5" s="88">
        <v>70.989999999999995</v>
      </c>
      <c r="V5" s="88">
        <v>244.7</v>
      </c>
      <c r="W5" s="88">
        <v>42615.92</v>
      </c>
      <c r="X5" s="88">
        <v>213079600</v>
      </c>
      <c r="Y5" s="150">
        <v>0</v>
      </c>
      <c r="Z5" s="88">
        <v>60031.199999999997</v>
      </c>
      <c r="AA5" s="88">
        <v>300156000</v>
      </c>
    </row>
    <row r="6" spans="1:27" x14ac:dyDescent="0.3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88">
        <v>36159</v>
      </c>
      <c r="P6" s="35">
        <v>5000</v>
      </c>
      <c r="Q6" s="88">
        <v>180795000</v>
      </c>
      <c r="R6" s="88">
        <v>70.989999999999995</v>
      </c>
      <c r="S6" s="88">
        <v>10489.85</v>
      </c>
      <c r="T6" s="88">
        <v>52449250</v>
      </c>
      <c r="U6" s="88">
        <v>70.989999999999995</v>
      </c>
      <c r="V6" s="88">
        <v>244.7</v>
      </c>
      <c r="W6" s="88">
        <v>25669.15</v>
      </c>
      <c r="X6" s="88">
        <v>128345750</v>
      </c>
      <c r="Y6" s="88">
        <v>0</v>
      </c>
      <c r="Z6" s="88">
        <v>36159</v>
      </c>
      <c r="AA6" s="88">
        <v>180795000</v>
      </c>
    </row>
    <row r="7" spans="1:27" ht="43.2" x14ac:dyDescent="0.3">
      <c r="A7" s="190" t="s">
        <v>662</v>
      </c>
      <c r="B7" s="65" t="s">
        <v>758</v>
      </c>
      <c r="C7" s="88" t="s">
        <v>18</v>
      </c>
      <c r="D7" s="189" t="s">
        <v>13</v>
      </c>
      <c r="E7" s="188" t="s">
        <v>30</v>
      </c>
      <c r="F7" s="188"/>
      <c r="G7" s="31" t="s">
        <v>31</v>
      </c>
      <c r="H7" s="88" t="s">
        <v>65</v>
      </c>
      <c r="I7" s="88" t="s">
        <v>134</v>
      </c>
      <c r="J7" s="88"/>
      <c r="K7" s="190" t="s">
        <v>663</v>
      </c>
      <c r="L7" s="190" t="s">
        <v>664</v>
      </c>
      <c r="M7" s="190">
        <v>15</v>
      </c>
      <c r="N7" s="190" t="s">
        <v>796</v>
      </c>
      <c r="O7" s="88">
        <v>36438.33</v>
      </c>
      <c r="P7" s="91">
        <v>12</v>
      </c>
      <c r="Q7" s="88">
        <v>437259.96</v>
      </c>
      <c r="R7" s="88">
        <v>0</v>
      </c>
      <c r="S7" s="88">
        <v>36438.33</v>
      </c>
      <c r="T7" s="150">
        <v>437259.96</v>
      </c>
      <c r="U7" s="150">
        <v>5.7072012309345199</v>
      </c>
      <c r="V7" s="88">
        <v>6.05</v>
      </c>
      <c r="W7" s="88">
        <v>2205.48</v>
      </c>
      <c r="X7" s="88">
        <v>26465.759999999998</v>
      </c>
      <c r="Y7" s="168">
        <v>-6.0526415453178002</v>
      </c>
      <c r="Z7" s="88">
        <v>38643.81</v>
      </c>
      <c r="AA7" s="88">
        <v>463725.72</v>
      </c>
    </row>
    <row r="8" spans="1:27" x14ac:dyDescent="0.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88">
        <v>36438.33</v>
      </c>
      <c r="P8" s="91">
        <v>12</v>
      </c>
      <c r="Q8" s="88">
        <v>437259.96</v>
      </c>
      <c r="R8" s="88">
        <v>0</v>
      </c>
      <c r="S8" s="88">
        <v>36438.33</v>
      </c>
      <c r="T8" s="150">
        <v>437259.96</v>
      </c>
      <c r="U8" s="150">
        <v>5.7072012309345199</v>
      </c>
      <c r="V8" s="88">
        <v>6.05</v>
      </c>
      <c r="W8" s="88">
        <v>2205.48</v>
      </c>
      <c r="X8" s="88">
        <v>26465.759999999998</v>
      </c>
      <c r="Y8" s="168">
        <v>-6.0526415453178002</v>
      </c>
      <c r="Z8" s="88">
        <v>38643.81</v>
      </c>
      <c r="AA8" s="88">
        <v>463725.72</v>
      </c>
    </row>
    <row r="9" spans="1:27" x14ac:dyDescent="0.3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x14ac:dyDescent="0.3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x14ac:dyDescent="0.3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88"/>
      <c r="P11" s="88"/>
      <c r="Q11" s="88"/>
      <c r="R11" s="35"/>
      <c r="S11" s="88"/>
      <c r="T11" s="88"/>
      <c r="U11" s="88"/>
      <c r="V11" s="88"/>
      <c r="W11" s="88"/>
      <c r="X11" s="88"/>
      <c r="Y11" s="88"/>
      <c r="Z11" s="88"/>
      <c r="AA11" s="88"/>
    </row>
  </sheetData>
  <hyperlinks>
    <hyperlink ref="D2" r:id="rId1" display="https://st1723635638241--stratavar.vf.force.com/a8Fbn000001CRgbEAG" xr:uid="{91710EBA-960F-4191-9A90-CF9927138319}"/>
    <hyperlink ref="D5" r:id="rId2" display="https://st1723635638241--stratavar.vf.force.com/a8Fbn000001CRgbEAG" xr:uid="{CFEF7D90-D2AF-40C1-B491-8FD116EC516E}"/>
    <hyperlink ref="D7" r:id="rId3" display="https://st1723635638241--stratavar.vf.force.com/a8Fbn000001CRgbEAG" xr:uid="{D2BB6EB8-F61A-4FB0-A549-615808CB3E1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0761-E091-4C4D-BCE3-D01492455459}">
  <dimension ref="A1:AA8"/>
  <sheetViews>
    <sheetView workbookViewId="0">
      <selection activeCell="R19" sqref="R19"/>
    </sheetView>
  </sheetViews>
  <sheetFormatPr defaultRowHeight="14.4" x14ac:dyDescent="0.3"/>
  <sheetData>
    <row r="1" spans="1:27" ht="58.2" thickBot="1" x14ac:dyDescent="0.35">
      <c r="A1" s="174" t="s">
        <v>22</v>
      </c>
      <c r="B1" s="175" t="s">
        <v>62</v>
      </c>
      <c r="C1" s="176" t="s">
        <v>17</v>
      </c>
      <c r="D1" s="177" t="s">
        <v>41</v>
      </c>
      <c r="E1" s="178" t="s">
        <v>21</v>
      </c>
      <c r="F1" s="179" t="s">
        <v>66</v>
      </c>
      <c r="G1" s="180" t="s">
        <v>27</v>
      </c>
      <c r="H1" s="181" t="s">
        <v>29</v>
      </c>
      <c r="I1" s="182" t="s">
        <v>28</v>
      </c>
      <c r="J1" s="181" t="s">
        <v>68</v>
      </c>
      <c r="K1" s="183" t="s">
        <v>34</v>
      </c>
      <c r="L1" s="184" t="s">
        <v>35</v>
      </c>
      <c r="M1" s="185" t="s">
        <v>36</v>
      </c>
      <c r="N1" s="144" t="s">
        <v>14</v>
      </c>
      <c r="O1" s="144" t="s">
        <v>46</v>
      </c>
      <c r="P1" s="186" t="s">
        <v>40</v>
      </c>
      <c r="Q1" s="186" t="s">
        <v>48</v>
      </c>
      <c r="R1" s="187" t="s">
        <v>39</v>
      </c>
      <c r="S1" s="187" t="s">
        <v>49</v>
      </c>
      <c r="T1" s="187" t="s">
        <v>50</v>
      </c>
      <c r="U1" s="187" t="s">
        <v>51</v>
      </c>
      <c r="V1" s="187" t="s">
        <v>52</v>
      </c>
      <c r="W1" s="187" t="s">
        <v>53</v>
      </c>
      <c r="X1" s="187" t="s">
        <v>54</v>
      </c>
      <c r="Y1" s="187" t="s">
        <v>55</v>
      </c>
      <c r="Z1" s="187" t="s">
        <v>56</v>
      </c>
      <c r="AA1" s="145" t="s">
        <v>57</v>
      </c>
    </row>
    <row r="2" spans="1:27" ht="28.8" x14ac:dyDescent="0.3">
      <c r="A2" s="188" t="s">
        <v>564</v>
      </c>
      <c r="B2" s="65" t="s">
        <v>804</v>
      </c>
      <c r="C2" s="88" t="s">
        <v>18</v>
      </c>
      <c r="D2" s="189" t="s">
        <v>13</v>
      </c>
      <c r="E2" s="188" t="s">
        <v>30</v>
      </c>
      <c r="F2" s="188"/>
      <c r="G2" s="31" t="s">
        <v>33</v>
      </c>
      <c r="H2" s="88" t="s">
        <v>43</v>
      </c>
      <c r="I2" s="88" t="s">
        <v>32</v>
      </c>
      <c r="J2" s="88"/>
      <c r="K2" s="190" t="s">
        <v>45</v>
      </c>
      <c r="L2" s="190" t="s">
        <v>38</v>
      </c>
      <c r="M2" s="190">
        <v>12</v>
      </c>
      <c r="N2" s="190" t="s">
        <v>44</v>
      </c>
      <c r="O2" s="88">
        <v>60031.199999999997</v>
      </c>
      <c r="P2" s="88">
        <v>10</v>
      </c>
      <c r="Q2" s="88">
        <v>600312</v>
      </c>
      <c r="R2" s="35">
        <v>12</v>
      </c>
      <c r="S2" s="88">
        <v>52827.46</v>
      </c>
      <c r="T2" s="88">
        <v>528274.56000000006</v>
      </c>
      <c r="U2" s="88">
        <v>12</v>
      </c>
      <c r="V2" s="88">
        <v>13.64</v>
      </c>
      <c r="W2" s="88">
        <v>7203.74</v>
      </c>
      <c r="X2" s="88">
        <v>72037.440000000002</v>
      </c>
      <c r="Y2" s="88">
        <v>0</v>
      </c>
      <c r="Z2" s="88">
        <v>60031.199999999997</v>
      </c>
      <c r="AA2" s="88">
        <v>600312</v>
      </c>
    </row>
    <row r="3" spans="1:27" x14ac:dyDescent="0.3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88">
        <v>36159</v>
      </c>
      <c r="P3" s="88">
        <v>16</v>
      </c>
      <c r="Q3" s="88">
        <v>578544</v>
      </c>
      <c r="R3" s="35">
        <v>12</v>
      </c>
      <c r="S3" s="88">
        <v>31819.919999999998</v>
      </c>
      <c r="T3" s="88">
        <v>509118.71999999997</v>
      </c>
      <c r="U3" s="88">
        <v>12</v>
      </c>
      <c r="V3" s="88">
        <v>13.64</v>
      </c>
      <c r="W3" s="88">
        <v>4339.08</v>
      </c>
      <c r="X3" s="88">
        <v>69425.279999999999</v>
      </c>
      <c r="Y3" s="88">
        <v>0</v>
      </c>
      <c r="Z3" s="88">
        <v>36159</v>
      </c>
      <c r="AA3" s="88">
        <v>578544</v>
      </c>
    </row>
    <row r="4" spans="1:27" x14ac:dyDescent="0.3">
      <c r="A4" s="149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88">
        <v>29919.95</v>
      </c>
      <c r="P4" s="88">
        <v>12</v>
      </c>
      <c r="Q4" s="88">
        <v>359039.4</v>
      </c>
      <c r="R4" s="35">
        <v>12</v>
      </c>
      <c r="S4" s="88">
        <v>26329.56</v>
      </c>
      <c r="T4" s="88">
        <v>315954.67</v>
      </c>
      <c r="U4" s="88">
        <v>12</v>
      </c>
      <c r="V4" s="150">
        <v>13.64</v>
      </c>
      <c r="W4" s="88">
        <v>3590.39</v>
      </c>
      <c r="X4" s="88">
        <v>43084.73</v>
      </c>
      <c r="Y4" s="88">
        <v>0</v>
      </c>
      <c r="Z4" s="88">
        <v>29919.95</v>
      </c>
      <c r="AA4" s="88">
        <v>359039.4</v>
      </c>
    </row>
    <row r="5" spans="1:27" ht="28.8" x14ac:dyDescent="0.3">
      <c r="A5" s="190" t="s">
        <v>565</v>
      </c>
      <c r="B5" s="65" t="s">
        <v>803</v>
      </c>
      <c r="C5" s="88" t="s">
        <v>18</v>
      </c>
      <c r="D5" s="189" t="s">
        <v>13</v>
      </c>
      <c r="E5" s="188" t="s">
        <v>30</v>
      </c>
      <c r="F5" s="188"/>
      <c r="G5" s="31" t="s">
        <v>33</v>
      </c>
      <c r="H5" s="88" t="s">
        <v>43</v>
      </c>
      <c r="I5" s="88" t="s">
        <v>32</v>
      </c>
      <c r="J5" s="88"/>
      <c r="K5" s="190" t="s">
        <v>37</v>
      </c>
      <c r="L5" s="190" t="s">
        <v>38</v>
      </c>
      <c r="M5" s="190">
        <v>5000</v>
      </c>
      <c r="N5" s="190" t="s">
        <v>75</v>
      </c>
      <c r="O5" s="88">
        <v>60031.199999999997</v>
      </c>
      <c r="P5" s="35">
        <v>5000</v>
      </c>
      <c r="Q5" s="88">
        <v>300156000</v>
      </c>
      <c r="R5" s="88">
        <v>70.989999999999995</v>
      </c>
      <c r="S5" s="88">
        <v>17415.28</v>
      </c>
      <c r="T5" s="88">
        <v>87076400</v>
      </c>
      <c r="U5" s="88">
        <v>70.989999999999995</v>
      </c>
      <c r="V5" s="88">
        <v>244.7</v>
      </c>
      <c r="W5" s="88">
        <v>42615.92</v>
      </c>
      <c r="X5" s="88">
        <v>213079600</v>
      </c>
      <c r="Y5" s="150">
        <v>0</v>
      </c>
      <c r="Z5" s="88">
        <v>60031.199999999997</v>
      </c>
      <c r="AA5" s="88">
        <v>300156000</v>
      </c>
    </row>
    <row r="6" spans="1:27" x14ac:dyDescent="0.3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88">
        <v>36159</v>
      </c>
      <c r="P6" s="35">
        <v>5000</v>
      </c>
      <c r="Q6" s="88">
        <v>180795000</v>
      </c>
      <c r="R6" s="88">
        <v>70.989999999999995</v>
      </c>
      <c r="S6" s="88">
        <v>10489.85</v>
      </c>
      <c r="T6" s="88">
        <v>52449250</v>
      </c>
      <c r="U6" s="88">
        <v>70.989999999999995</v>
      </c>
      <c r="V6" s="88">
        <v>244.7</v>
      </c>
      <c r="W6" s="88">
        <v>25669.15</v>
      </c>
      <c r="X6" s="88">
        <v>128345750</v>
      </c>
      <c r="Y6" s="88">
        <v>0</v>
      </c>
      <c r="Z6" s="88">
        <v>36159</v>
      </c>
      <c r="AA6" s="88">
        <v>180795000</v>
      </c>
    </row>
    <row r="7" spans="1:27" ht="43.2" x14ac:dyDescent="0.3">
      <c r="A7" s="190" t="s">
        <v>662</v>
      </c>
      <c r="B7" s="65" t="s">
        <v>802</v>
      </c>
      <c r="C7" s="88" t="s">
        <v>18</v>
      </c>
      <c r="D7" s="189" t="s">
        <v>13</v>
      </c>
      <c r="E7" s="188" t="s">
        <v>30</v>
      </c>
      <c r="F7" s="188"/>
      <c r="G7" s="31" t="s">
        <v>31</v>
      </c>
      <c r="H7" s="88" t="s">
        <v>65</v>
      </c>
      <c r="I7" s="88" t="s">
        <v>134</v>
      </c>
      <c r="J7" s="88"/>
      <c r="K7" s="190" t="s">
        <v>663</v>
      </c>
      <c r="L7" s="190" t="s">
        <v>664</v>
      </c>
      <c r="M7" s="190">
        <v>15</v>
      </c>
      <c r="N7" s="190" t="s">
        <v>796</v>
      </c>
      <c r="O7" s="88">
        <v>36438.33</v>
      </c>
      <c r="P7" s="91">
        <v>12</v>
      </c>
      <c r="Q7" s="88">
        <v>437259.96</v>
      </c>
      <c r="R7" s="88">
        <v>0</v>
      </c>
      <c r="S7" s="88">
        <v>36438.33</v>
      </c>
      <c r="T7" s="150">
        <v>437259.96</v>
      </c>
      <c r="U7" s="150">
        <v>5.7072012309345199</v>
      </c>
      <c r="V7" s="88">
        <v>6.05</v>
      </c>
      <c r="W7" s="88">
        <v>2205.48</v>
      </c>
      <c r="X7" s="88">
        <v>26465.759999999998</v>
      </c>
      <c r="Y7" s="168">
        <v>-6.0526415453178002</v>
      </c>
      <c r="Z7" s="88">
        <v>38643.81</v>
      </c>
      <c r="AA7" s="88">
        <v>463725.72</v>
      </c>
    </row>
    <row r="8" spans="1:27" x14ac:dyDescent="0.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88">
        <v>36438.33</v>
      </c>
      <c r="P8" s="91">
        <v>12</v>
      </c>
      <c r="Q8" s="88">
        <v>437259.96</v>
      </c>
      <c r="R8" s="88">
        <v>0</v>
      </c>
      <c r="S8" s="88">
        <v>36438.33</v>
      </c>
      <c r="T8" s="150">
        <v>437259.96</v>
      </c>
      <c r="U8" s="150">
        <v>5.7072012309345199</v>
      </c>
      <c r="V8" s="88">
        <v>6.05</v>
      </c>
      <c r="W8" s="88">
        <v>2205.48</v>
      </c>
      <c r="X8" s="88">
        <v>26465.759999999998</v>
      </c>
      <c r="Y8" s="168">
        <v>-6.0526415453178002</v>
      </c>
      <c r="Z8" s="88">
        <v>38643.81</v>
      </c>
      <c r="AA8" s="88">
        <v>463725.72</v>
      </c>
    </row>
  </sheetData>
  <hyperlinks>
    <hyperlink ref="D2" r:id="rId1" display="https://st1723635638241--stratavar.vf.force.com/a8Fbn000001CRgbEAG" xr:uid="{74F94F8F-D5EA-4FD8-8380-C926DF3234CB}"/>
    <hyperlink ref="D5" r:id="rId2" display="https://st1723635638241--stratavar.vf.force.com/a8Fbn000001CRgbEAG" xr:uid="{B3F072D5-79AE-4D59-BCB6-1FD16EBB6C42}"/>
    <hyperlink ref="D7" r:id="rId3" display="https://st1723635638241--stratavar.vf.force.com/a8Fbn000001CRgbEAG" xr:uid="{CBBACB9C-ED8A-4724-B395-40E4D4732C5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FF1B-9319-480B-A8BB-A1C0E767BD96}">
  <dimension ref="A1:AB270"/>
  <sheetViews>
    <sheetView workbookViewId="0">
      <selection activeCell="AB1" sqref="AB1"/>
    </sheetView>
  </sheetViews>
  <sheetFormatPr defaultRowHeight="14.4" x14ac:dyDescent="0.3"/>
  <cols>
    <col min="1" max="26" width="17" customWidth="1"/>
    <col min="27" max="27" width="9.44140625" style="84" customWidth="1"/>
    <col min="28" max="28" width="52.109375" customWidth="1"/>
  </cols>
  <sheetData>
    <row r="1" spans="1:28" ht="43.8" thickBot="1" x14ac:dyDescent="0.35">
      <c r="A1" s="17" t="s">
        <v>22</v>
      </c>
      <c r="B1" s="45" t="s">
        <v>62</v>
      </c>
      <c r="C1" s="18" t="s">
        <v>17</v>
      </c>
      <c r="D1" s="19" t="s">
        <v>41</v>
      </c>
      <c r="E1" s="53" t="s">
        <v>21</v>
      </c>
      <c r="F1" s="21" t="s">
        <v>27</v>
      </c>
      <c r="G1" s="22" t="s">
        <v>29</v>
      </c>
      <c r="H1" s="23" t="s">
        <v>28</v>
      </c>
      <c r="I1" s="54" t="s">
        <v>14</v>
      </c>
      <c r="J1" s="54" t="s">
        <v>15</v>
      </c>
      <c r="K1" s="54" t="s">
        <v>16</v>
      </c>
      <c r="L1" s="54" t="s">
        <v>12</v>
      </c>
      <c r="M1" s="51" t="s">
        <v>107</v>
      </c>
      <c r="N1" s="51" t="s">
        <v>11</v>
      </c>
      <c r="O1" s="51" t="s">
        <v>10</v>
      </c>
      <c r="P1" s="54" t="s">
        <v>0</v>
      </c>
      <c r="Q1" s="54" t="s">
        <v>1</v>
      </c>
      <c r="R1" s="54" t="s">
        <v>2</v>
      </c>
      <c r="S1" s="54" t="s">
        <v>3</v>
      </c>
      <c r="T1" s="54" t="s">
        <v>4</v>
      </c>
      <c r="U1" s="54" t="s">
        <v>5</v>
      </c>
      <c r="V1" s="54" t="s">
        <v>6</v>
      </c>
      <c r="W1" s="54" t="s">
        <v>7</v>
      </c>
      <c r="X1" s="54" t="s">
        <v>8</v>
      </c>
      <c r="Y1" s="54" t="s">
        <v>9</v>
      </c>
      <c r="Z1" s="52" t="s">
        <v>108</v>
      </c>
      <c r="AA1" s="82" t="s">
        <v>19</v>
      </c>
      <c r="AB1" s="52" t="s">
        <v>23</v>
      </c>
    </row>
    <row r="2" spans="1:28" ht="28.8" x14ac:dyDescent="0.3">
      <c r="A2" t="s">
        <v>109</v>
      </c>
      <c r="B2" s="41" t="s">
        <v>63</v>
      </c>
      <c r="C2" s="29" t="s">
        <v>18</v>
      </c>
      <c r="D2" t="s">
        <v>110</v>
      </c>
      <c r="E2" t="s">
        <v>113</v>
      </c>
      <c r="F2" t="s">
        <v>33</v>
      </c>
      <c r="G2" s="32" t="s">
        <v>43</v>
      </c>
      <c r="H2" t="s">
        <v>114</v>
      </c>
      <c r="I2">
        <v>1</v>
      </c>
      <c r="J2" t="s">
        <v>46</v>
      </c>
      <c r="K2">
        <v>8532.8700000000008</v>
      </c>
      <c r="L2" s="2">
        <v>8532.8700000000008</v>
      </c>
      <c r="M2" s="3"/>
      <c r="N2" s="1">
        <v>2</v>
      </c>
      <c r="O2" s="1">
        <f t="shared" ref="O2:O7" si="0">ROUND(N2*L2, 2)</f>
        <v>17065.740000000002</v>
      </c>
      <c r="P2" s="55">
        <v>0.01</v>
      </c>
      <c r="Q2" s="1">
        <f t="shared" ref="Q2:Q12" si="1">IFERROR(ROUND(L2*(1-P2), 2), 0)</f>
        <v>8447.5400000000009</v>
      </c>
      <c r="R2" s="1">
        <f>IFERROR(Q2*N2, 0)</f>
        <v>16895.080000000002</v>
      </c>
      <c r="S2" s="56">
        <f t="shared" ref="S2:S13" si="2">IFERROR((X2-Q2)/X2,0)</f>
        <v>1.0000152352022229E-2</v>
      </c>
      <c r="T2" s="56">
        <f t="shared" ref="T2:T13" si="3">IFERROR((X2-Q2)/Q2,0)</f>
        <v>1.0101165546419421E-2</v>
      </c>
      <c r="U2" s="1">
        <f t="shared" ref="U2:U33" si="4">X2-Q2</f>
        <v>85.329999999999927</v>
      </c>
      <c r="V2" s="1">
        <f t="shared" ref="V2:V34" si="5">ROUND(U2*N2, 2)</f>
        <v>170.66</v>
      </c>
      <c r="W2" s="55">
        <v>0</v>
      </c>
      <c r="X2" s="1">
        <f t="shared" ref="X2:X7" si="6">IFERROR(ROUND(L2*(1-W2), 2), 0)</f>
        <v>8532.8700000000008</v>
      </c>
      <c r="Y2" s="1">
        <f t="shared" ref="Y2:Y34" si="7">IFERROR(ROUND(X2*N2, 2), 0)</f>
        <v>17065.740000000002</v>
      </c>
      <c r="Z2" t="s">
        <v>111</v>
      </c>
      <c r="AA2" t="s">
        <v>115</v>
      </c>
      <c r="AB2" t="s">
        <v>112</v>
      </c>
    </row>
    <row r="3" spans="1:28" ht="28.8" x14ac:dyDescent="0.3">
      <c r="A3" t="s">
        <v>116</v>
      </c>
      <c r="B3" s="41" t="s">
        <v>63</v>
      </c>
      <c r="C3" s="29" t="s">
        <v>18</v>
      </c>
      <c r="D3" t="s">
        <v>110</v>
      </c>
      <c r="E3" t="s">
        <v>113</v>
      </c>
      <c r="F3" t="s">
        <v>33</v>
      </c>
      <c r="G3" s="32" t="s">
        <v>43</v>
      </c>
      <c r="H3" t="s">
        <v>114</v>
      </c>
      <c r="I3">
        <v>1</v>
      </c>
      <c r="J3" t="s">
        <v>46</v>
      </c>
      <c r="K3">
        <v>0</v>
      </c>
      <c r="L3" s="2">
        <v>0</v>
      </c>
      <c r="M3" s="3"/>
      <c r="N3" s="1">
        <v>2</v>
      </c>
      <c r="O3" s="1">
        <f t="shared" si="0"/>
        <v>0</v>
      </c>
      <c r="P3" s="55">
        <v>0.01</v>
      </c>
      <c r="Q3" s="1">
        <f t="shared" si="1"/>
        <v>0</v>
      </c>
      <c r="R3" s="1">
        <f>IFERROR(Q3*N3, 0)</f>
        <v>0</v>
      </c>
      <c r="S3" s="56">
        <f t="shared" si="2"/>
        <v>0</v>
      </c>
      <c r="T3" s="56">
        <f t="shared" si="3"/>
        <v>0</v>
      </c>
      <c r="U3" s="1">
        <f t="shared" si="4"/>
        <v>0</v>
      </c>
      <c r="V3" s="1">
        <f t="shared" si="5"/>
        <v>0</v>
      </c>
      <c r="W3" s="55">
        <v>0</v>
      </c>
      <c r="X3" s="1">
        <f t="shared" si="6"/>
        <v>0</v>
      </c>
      <c r="Y3" s="1">
        <f t="shared" si="7"/>
        <v>0</v>
      </c>
      <c r="Z3" t="s">
        <v>111</v>
      </c>
      <c r="AA3" t="s">
        <v>115</v>
      </c>
      <c r="AB3" t="s">
        <v>117</v>
      </c>
    </row>
    <row r="4" spans="1:28" ht="28.8" x14ac:dyDescent="0.3">
      <c r="A4" t="s">
        <v>118</v>
      </c>
      <c r="B4" s="41" t="s">
        <v>63</v>
      </c>
      <c r="C4" s="29" t="s">
        <v>18</v>
      </c>
      <c r="D4" t="s">
        <v>110</v>
      </c>
      <c r="E4" t="s">
        <v>113</v>
      </c>
      <c r="F4" t="s">
        <v>33</v>
      </c>
      <c r="G4" s="32" t="s">
        <v>43</v>
      </c>
      <c r="H4" t="s">
        <v>120</v>
      </c>
      <c r="I4">
        <v>1</v>
      </c>
      <c r="J4" t="s">
        <v>46</v>
      </c>
      <c r="K4">
        <v>1500.94</v>
      </c>
      <c r="L4" s="2">
        <v>1500.94</v>
      </c>
      <c r="M4" s="3"/>
      <c r="N4" s="1">
        <v>1</v>
      </c>
      <c r="O4" s="1">
        <f t="shared" si="0"/>
        <v>1500.94</v>
      </c>
      <c r="P4" s="55">
        <v>0</v>
      </c>
      <c r="Q4" s="1">
        <f t="shared" si="1"/>
        <v>1500.94</v>
      </c>
      <c r="R4" s="1">
        <f>IFERROR(Q4*N4, 0)</f>
        <v>1500.94</v>
      </c>
      <c r="S4" s="56">
        <f t="shared" si="2"/>
        <v>0</v>
      </c>
      <c r="T4" s="56">
        <f t="shared" si="3"/>
        <v>0</v>
      </c>
      <c r="U4" s="1">
        <f t="shared" si="4"/>
        <v>0</v>
      </c>
      <c r="V4" s="1">
        <f t="shared" si="5"/>
        <v>0</v>
      </c>
      <c r="W4" s="55">
        <v>0</v>
      </c>
      <c r="X4" s="1">
        <f t="shared" si="6"/>
        <v>1500.94</v>
      </c>
      <c r="Y4" s="1">
        <f t="shared" si="7"/>
        <v>1500.94</v>
      </c>
      <c r="Z4" t="s">
        <v>111</v>
      </c>
      <c r="AA4" t="s">
        <v>115</v>
      </c>
      <c r="AB4" t="s">
        <v>119</v>
      </c>
    </row>
    <row r="5" spans="1:28" ht="28.8" x14ac:dyDescent="0.3">
      <c r="A5" t="s">
        <v>121</v>
      </c>
      <c r="B5" s="41" t="s">
        <v>63</v>
      </c>
      <c r="C5" s="29" t="s">
        <v>18</v>
      </c>
      <c r="D5" t="s">
        <v>122</v>
      </c>
      <c r="E5" t="s">
        <v>113</v>
      </c>
      <c r="F5" t="s">
        <v>33</v>
      </c>
      <c r="G5" s="32" t="s">
        <v>43</v>
      </c>
      <c r="H5" t="s">
        <v>125</v>
      </c>
      <c r="I5">
        <v>1</v>
      </c>
      <c r="J5" t="s">
        <v>40</v>
      </c>
      <c r="K5">
        <v>0</v>
      </c>
      <c r="L5" s="57">
        <v>100.31</v>
      </c>
      <c r="M5" s="58"/>
      <c r="N5" s="2">
        <v>0</v>
      </c>
      <c r="O5" s="1">
        <f t="shared" si="0"/>
        <v>0</v>
      </c>
      <c r="P5" s="55">
        <v>0.19639118731930999</v>
      </c>
      <c r="Q5" s="1">
        <f t="shared" si="1"/>
        <v>80.61</v>
      </c>
      <c r="R5" s="1">
        <f>IFERROR(Q5*N5, 0)</f>
        <v>0</v>
      </c>
      <c r="S5" s="56">
        <f t="shared" si="2"/>
        <v>0.19639118731931016</v>
      </c>
      <c r="T5" s="56">
        <f t="shared" si="3"/>
        <v>0.24438655253690614</v>
      </c>
      <c r="U5" s="1">
        <f t="shared" si="4"/>
        <v>19.700000000000003</v>
      </c>
      <c r="V5" s="1">
        <f t="shared" si="5"/>
        <v>0</v>
      </c>
      <c r="W5" s="55">
        <v>0</v>
      </c>
      <c r="X5" s="1">
        <f t="shared" si="6"/>
        <v>100.31</v>
      </c>
      <c r="Y5" s="1">
        <f t="shared" si="7"/>
        <v>0</v>
      </c>
      <c r="Z5" t="s">
        <v>123</v>
      </c>
      <c r="AA5"/>
      <c r="AB5" t="s">
        <v>124</v>
      </c>
    </row>
    <row r="6" spans="1:28" ht="28.8" x14ac:dyDescent="0.3">
      <c r="A6" t="s">
        <v>126</v>
      </c>
      <c r="B6" s="41" t="s">
        <v>63</v>
      </c>
      <c r="C6" s="29" t="s">
        <v>18</v>
      </c>
      <c r="D6" t="s">
        <v>122</v>
      </c>
      <c r="E6" t="s">
        <v>113</v>
      </c>
      <c r="F6" t="s">
        <v>33</v>
      </c>
      <c r="G6" s="32" t="s">
        <v>43</v>
      </c>
      <c r="H6" t="s">
        <v>125</v>
      </c>
      <c r="I6">
        <v>1</v>
      </c>
      <c r="J6" t="s">
        <v>40</v>
      </c>
      <c r="K6">
        <v>5</v>
      </c>
      <c r="L6" s="57">
        <v>100.31</v>
      </c>
      <c r="M6" s="58"/>
      <c r="N6" s="2">
        <v>5</v>
      </c>
      <c r="O6" s="1">
        <f t="shared" si="0"/>
        <v>501.55</v>
      </c>
      <c r="P6" s="55">
        <v>0.19639118731930999</v>
      </c>
      <c r="Q6" s="1">
        <f t="shared" si="1"/>
        <v>80.61</v>
      </c>
      <c r="R6" s="1">
        <f>IFERROR(Q6*N6, 0)</f>
        <v>403.05</v>
      </c>
      <c r="S6" s="56">
        <f t="shared" si="2"/>
        <v>0.19639118731931016</v>
      </c>
      <c r="T6" s="56">
        <f t="shared" si="3"/>
        <v>0.24438655253690614</v>
      </c>
      <c r="U6" s="1">
        <f t="shared" si="4"/>
        <v>19.700000000000003</v>
      </c>
      <c r="V6" s="1">
        <f t="shared" si="5"/>
        <v>98.5</v>
      </c>
      <c r="W6" s="55">
        <v>0</v>
      </c>
      <c r="X6" s="1">
        <f t="shared" si="6"/>
        <v>100.31</v>
      </c>
      <c r="Y6" s="1">
        <f t="shared" si="7"/>
        <v>501.55</v>
      </c>
      <c r="Z6" t="s">
        <v>123</v>
      </c>
      <c r="AA6"/>
      <c r="AB6" t="s">
        <v>127</v>
      </c>
    </row>
    <row r="7" spans="1:28" ht="28.8" x14ac:dyDescent="0.3">
      <c r="A7" t="s">
        <v>128</v>
      </c>
      <c r="B7" s="41" t="s">
        <v>63</v>
      </c>
      <c r="C7" s="29" t="s">
        <v>18</v>
      </c>
      <c r="D7" t="s">
        <v>110</v>
      </c>
      <c r="E7" t="s">
        <v>113</v>
      </c>
      <c r="F7" t="s">
        <v>33</v>
      </c>
      <c r="G7" s="32" t="s">
        <v>43</v>
      </c>
      <c r="H7" t="s">
        <v>114</v>
      </c>
      <c r="I7">
        <v>1</v>
      </c>
      <c r="J7" t="s">
        <v>40</v>
      </c>
      <c r="K7">
        <v>5</v>
      </c>
      <c r="L7" s="57">
        <v>12213.63</v>
      </c>
      <c r="M7" s="58"/>
      <c r="N7" s="2">
        <v>5</v>
      </c>
      <c r="O7" s="1">
        <f t="shared" si="0"/>
        <v>61068.15</v>
      </c>
      <c r="P7" s="55">
        <v>0.01</v>
      </c>
      <c r="Q7" s="1">
        <f t="shared" si="1"/>
        <v>12091.49</v>
      </c>
      <c r="R7" s="1">
        <f>IFERROR(ROUND(Q7*N7, 2), 0)</f>
        <v>60457.45</v>
      </c>
      <c r="S7" s="56">
        <f t="shared" si="2"/>
        <v>1.0000302940239668E-2</v>
      </c>
      <c r="T7" s="56">
        <f t="shared" si="3"/>
        <v>1.0101319192258309E-2</v>
      </c>
      <c r="U7" s="1">
        <f t="shared" si="4"/>
        <v>122.13999999999942</v>
      </c>
      <c r="V7" s="1">
        <f t="shared" si="5"/>
        <v>610.70000000000005</v>
      </c>
      <c r="W7" s="55">
        <v>0</v>
      </c>
      <c r="X7" s="1">
        <f t="shared" si="6"/>
        <v>12213.63</v>
      </c>
      <c r="Y7" s="1">
        <f t="shared" si="7"/>
        <v>61068.15</v>
      </c>
      <c r="Z7" t="s">
        <v>111</v>
      </c>
      <c r="AA7" t="s">
        <v>115</v>
      </c>
      <c r="AB7" t="s">
        <v>112</v>
      </c>
    </row>
    <row r="8" spans="1:28" ht="28.8" x14ac:dyDescent="0.3">
      <c r="A8" t="s">
        <v>129</v>
      </c>
      <c r="B8" s="41" t="s">
        <v>63</v>
      </c>
      <c r="C8" s="29" t="s">
        <v>18</v>
      </c>
      <c r="D8" t="s">
        <v>130</v>
      </c>
      <c r="E8" t="s">
        <v>113</v>
      </c>
      <c r="F8" t="s">
        <v>33</v>
      </c>
      <c r="G8" s="32" t="s">
        <v>43</v>
      </c>
      <c r="H8" t="s">
        <v>133</v>
      </c>
      <c r="I8">
        <v>1</v>
      </c>
      <c r="J8" t="s">
        <v>135</v>
      </c>
      <c r="K8">
        <v>72.739999999999995</v>
      </c>
      <c r="L8" s="57">
        <v>70</v>
      </c>
      <c r="M8" s="3">
        <v>72.739999999999995</v>
      </c>
      <c r="N8" s="57">
        <v>72</v>
      </c>
      <c r="O8" s="1">
        <f>ROUND(M8*N8*L8, 2)</f>
        <v>366609.6</v>
      </c>
      <c r="P8" s="55">
        <v>0.59</v>
      </c>
      <c r="Q8" s="1">
        <f>IFERROR(ROUND(M8*L8*(1-P8), 2), 0)</f>
        <v>2087.64</v>
      </c>
      <c r="R8" s="1">
        <f>IFERROR(ROUND(Q8*N8, 2), 0)</f>
        <v>150310.07999999999</v>
      </c>
      <c r="S8" s="56">
        <f t="shared" si="2"/>
        <v>0.58999960721159517</v>
      </c>
      <c r="T8" s="56">
        <f t="shared" si="3"/>
        <v>1.4390220536107761</v>
      </c>
      <c r="U8" s="1">
        <f t="shared" si="4"/>
        <v>3004.1600000000003</v>
      </c>
      <c r="V8" s="1">
        <f t="shared" si="5"/>
        <v>216299.51999999999</v>
      </c>
      <c r="W8" s="55">
        <v>0</v>
      </c>
      <c r="X8" s="1">
        <f>IFERROR(ROUND(M8*L8*(1-W8), 2), 0)</f>
        <v>5091.8</v>
      </c>
      <c r="Y8" s="1">
        <f t="shared" si="7"/>
        <v>366609.6</v>
      </c>
      <c r="Z8" t="s">
        <v>131</v>
      </c>
      <c r="AA8" t="s">
        <v>134</v>
      </c>
      <c r="AB8" t="s">
        <v>132</v>
      </c>
    </row>
    <row r="9" spans="1:28" ht="28.8" x14ac:dyDescent="0.3">
      <c r="A9" t="s">
        <v>136</v>
      </c>
      <c r="B9" s="41" t="s">
        <v>63</v>
      </c>
      <c r="C9" s="29" t="s">
        <v>18</v>
      </c>
      <c r="D9" t="s">
        <v>130</v>
      </c>
      <c r="E9" t="s">
        <v>113</v>
      </c>
      <c r="F9" t="s">
        <v>33</v>
      </c>
      <c r="G9" s="32" t="s">
        <v>43</v>
      </c>
      <c r="H9" t="s">
        <v>138</v>
      </c>
      <c r="I9">
        <v>1</v>
      </c>
      <c r="J9" t="s">
        <v>135</v>
      </c>
      <c r="K9">
        <v>72.739999999999995</v>
      </c>
      <c r="L9" s="57">
        <v>1761</v>
      </c>
      <c r="M9" s="3">
        <v>72.739999999999995</v>
      </c>
      <c r="N9" s="57">
        <v>72</v>
      </c>
      <c r="O9" s="1">
        <f>ROUND(N9*L9, 2)</f>
        <v>126792</v>
      </c>
      <c r="P9" s="55">
        <v>0.28389999999999999</v>
      </c>
      <c r="Q9" s="1">
        <f t="shared" si="1"/>
        <v>1261.05</v>
      </c>
      <c r="R9" s="1">
        <f>IFERROR(ROUND(Q9*N9, 2), 0)</f>
        <v>90795.6</v>
      </c>
      <c r="S9" s="56">
        <f t="shared" si="2"/>
        <v>0.28390119250425899</v>
      </c>
      <c r="T9" s="56">
        <f t="shared" si="3"/>
        <v>0.39645533484001433</v>
      </c>
      <c r="U9" s="1">
        <f t="shared" si="4"/>
        <v>499.95000000000005</v>
      </c>
      <c r="V9" s="1">
        <f t="shared" si="5"/>
        <v>35996.400000000001</v>
      </c>
      <c r="W9" s="55">
        <v>0</v>
      </c>
      <c r="X9" s="1">
        <f>IFERROR(ROUND(L9*(1-W9), 2), 0)</f>
        <v>1761</v>
      </c>
      <c r="Y9" s="1">
        <f t="shared" si="7"/>
        <v>126792</v>
      </c>
      <c r="Z9" t="s">
        <v>131</v>
      </c>
      <c r="AA9" t="s">
        <v>61</v>
      </c>
      <c r="AB9" t="s">
        <v>137</v>
      </c>
    </row>
    <row r="10" spans="1:28" ht="28.8" x14ac:dyDescent="0.3">
      <c r="A10" t="s">
        <v>139</v>
      </c>
      <c r="B10" s="41" t="s">
        <v>63</v>
      </c>
      <c r="C10" s="29" t="s">
        <v>18</v>
      </c>
      <c r="D10" t="s">
        <v>130</v>
      </c>
      <c r="E10" t="s">
        <v>113</v>
      </c>
      <c r="F10" t="s">
        <v>33</v>
      </c>
      <c r="G10" s="32" t="s">
        <v>43</v>
      </c>
      <c r="H10" t="s">
        <v>138</v>
      </c>
      <c r="I10">
        <v>1</v>
      </c>
      <c r="J10" t="s">
        <v>135</v>
      </c>
      <c r="K10">
        <v>0</v>
      </c>
      <c r="L10" s="57">
        <v>1761</v>
      </c>
      <c r="M10" s="3">
        <v>0</v>
      </c>
      <c r="N10" s="57">
        <v>72</v>
      </c>
      <c r="O10" s="1">
        <f>ROUND(N10*L10, 2)</f>
        <v>126792</v>
      </c>
      <c r="P10" s="55">
        <v>0.28389999999999999</v>
      </c>
      <c r="Q10" s="1">
        <f t="shared" si="1"/>
        <v>1261.05</v>
      </c>
      <c r="R10" s="1">
        <f>IFERROR(ROUND(Q10*N10, 2), 0)</f>
        <v>90795.6</v>
      </c>
      <c r="S10" s="56">
        <f t="shared" si="2"/>
        <v>0.28390119250425899</v>
      </c>
      <c r="T10" s="56">
        <f t="shared" si="3"/>
        <v>0.39645533484001433</v>
      </c>
      <c r="U10" s="1">
        <f t="shared" si="4"/>
        <v>499.95000000000005</v>
      </c>
      <c r="V10" s="1">
        <f t="shared" si="5"/>
        <v>35996.400000000001</v>
      </c>
      <c r="W10" s="55">
        <v>0</v>
      </c>
      <c r="X10" s="1">
        <f>IFERROR(ROUND(L10*(1-W10), 2), 0)</f>
        <v>1761</v>
      </c>
      <c r="Y10" s="1">
        <f t="shared" si="7"/>
        <v>126792</v>
      </c>
      <c r="Z10" t="s">
        <v>131</v>
      </c>
      <c r="AA10" t="s">
        <v>61</v>
      </c>
      <c r="AB10" t="s">
        <v>140</v>
      </c>
    </row>
    <row r="11" spans="1:28" ht="28.8" x14ac:dyDescent="0.3">
      <c r="A11" t="s">
        <v>141</v>
      </c>
      <c r="B11" s="41" t="s">
        <v>63</v>
      </c>
      <c r="C11" s="29" t="s">
        <v>18</v>
      </c>
      <c r="D11" t="s">
        <v>142</v>
      </c>
      <c r="E11" t="s">
        <v>113</v>
      </c>
      <c r="F11" t="s">
        <v>33</v>
      </c>
      <c r="G11" s="32" t="s">
        <v>43</v>
      </c>
      <c r="H11" t="s">
        <v>144</v>
      </c>
      <c r="I11">
        <v>1</v>
      </c>
      <c r="J11" t="s">
        <v>135</v>
      </c>
      <c r="K11">
        <v>83.78</v>
      </c>
      <c r="L11" s="57">
        <v>20605.68</v>
      </c>
      <c r="M11" s="2">
        <v>83.78</v>
      </c>
      <c r="N11" s="57">
        <v>8</v>
      </c>
      <c r="O11" s="1">
        <v>164845.44</v>
      </c>
      <c r="P11" s="59">
        <v>0</v>
      </c>
      <c r="Q11" s="1">
        <f t="shared" si="1"/>
        <v>20605.68</v>
      </c>
      <c r="R11" s="1">
        <v>164845.44</v>
      </c>
      <c r="S11" s="56">
        <f t="shared" si="2"/>
        <v>0</v>
      </c>
      <c r="T11" s="56">
        <f t="shared" si="3"/>
        <v>0</v>
      </c>
      <c r="U11" s="1">
        <f t="shared" si="4"/>
        <v>0</v>
      </c>
      <c r="V11" s="1">
        <f t="shared" si="5"/>
        <v>0</v>
      </c>
      <c r="W11" s="55">
        <v>0</v>
      </c>
      <c r="X11" s="1">
        <f>IFERROR(ROUND(L11*(1-W11), 2), 0)</f>
        <v>20605.68</v>
      </c>
      <c r="Y11" s="1">
        <f t="shared" si="7"/>
        <v>164845.44</v>
      </c>
      <c r="Z11" t="s">
        <v>111</v>
      </c>
      <c r="AA11" t="s">
        <v>145</v>
      </c>
      <c r="AB11" t="s">
        <v>143</v>
      </c>
    </row>
    <row r="12" spans="1:28" ht="28.8" x14ac:dyDescent="0.3">
      <c r="A12" t="s">
        <v>146</v>
      </c>
      <c r="B12" s="41" t="s">
        <v>63</v>
      </c>
      <c r="C12" s="29" t="s">
        <v>18</v>
      </c>
      <c r="D12" t="s">
        <v>142</v>
      </c>
      <c r="E12" t="s">
        <v>113</v>
      </c>
      <c r="F12" t="s">
        <v>33</v>
      </c>
      <c r="G12" s="32" t="s">
        <v>43</v>
      </c>
      <c r="H12" t="s">
        <v>144</v>
      </c>
      <c r="I12">
        <v>1</v>
      </c>
      <c r="J12" t="s">
        <v>135</v>
      </c>
      <c r="K12">
        <v>0</v>
      </c>
      <c r="L12" s="57">
        <v>20605.68</v>
      </c>
      <c r="M12" s="2">
        <v>0</v>
      </c>
      <c r="N12" s="57">
        <v>8</v>
      </c>
      <c r="O12" s="1">
        <v>164845.44</v>
      </c>
      <c r="P12" s="59">
        <v>0</v>
      </c>
      <c r="Q12" s="1">
        <f t="shared" si="1"/>
        <v>20605.68</v>
      </c>
      <c r="R12" s="1">
        <v>164845.44</v>
      </c>
      <c r="S12" s="56">
        <f t="shared" si="2"/>
        <v>0</v>
      </c>
      <c r="T12" s="56">
        <f t="shared" si="3"/>
        <v>0</v>
      </c>
      <c r="U12" s="1">
        <f t="shared" si="4"/>
        <v>0</v>
      </c>
      <c r="V12" s="1">
        <f t="shared" si="5"/>
        <v>0</v>
      </c>
      <c r="W12" s="55">
        <v>0</v>
      </c>
      <c r="X12" s="1">
        <f>IFERROR(ROUND(L12*(1-W12), 2), 0)</f>
        <v>20605.68</v>
      </c>
      <c r="Y12" s="1">
        <f t="shared" si="7"/>
        <v>164845.44</v>
      </c>
      <c r="Z12" t="s">
        <v>111</v>
      </c>
      <c r="AA12" t="s">
        <v>145</v>
      </c>
      <c r="AB12" t="s">
        <v>147</v>
      </c>
    </row>
    <row r="13" spans="1:28" ht="28.8" x14ac:dyDescent="0.3">
      <c r="A13" t="s">
        <v>148</v>
      </c>
      <c r="B13" s="41" t="s">
        <v>63</v>
      </c>
      <c r="C13" s="29" t="s">
        <v>18</v>
      </c>
      <c r="D13" t="s">
        <v>130</v>
      </c>
      <c r="E13" t="s">
        <v>113</v>
      </c>
      <c r="F13" t="s">
        <v>33</v>
      </c>
      <c r="G13" s="32" t="s">
        <v>43</v>
      </c>
      <c r="H13" t="s">
        <v>133</v>
      </c>
      <c r="I13">
        <v>1</v>
      </c>
      <c r="J13" t="s">
        <v>135</v>
      </c>
      <c r="K13">
        <v>0</v>
      </c>
      <c r="L13" s="57">
        <v>70</v>
      </c>
      <c r="M13" s="3">
        <v>0</v>
      </c>
      <c r="N13" s="57">
        <v>72</v>
      </c>
      <c r="O13" s="1">
        <f>ROUND(M13*N13*L13, 2)</f>
        <v>0</v>
      </c>
      <c r="P13" s="55">
        <v>0.59</v>
      </c>
      <c r="Q13" s="1">
        <f>IFERROR(ROUND(M13*L13*(1-P13), 2), 0)</f>
        <v>0</v>
      </c>
      <c r="R13" s="1">
        <f t="shared" ref="R13:R23" si="8">IFERROR(ROUND(Q13*N13, 2), 0)</f>
        <v>0</v>
      </c>
      <c r="S13" s="56">
        <f t="shared" si="2"/>
        <v>0</v>
      </c>
      <c r="T13" s="56">
        <f t="shared" si="3"/>
        <v>0</v>
      </c>
      <c r="U13" s="1">
        <f t="shared" si="4"/>
        <v>0</v>
      </c>
      <c r="V13" s="1">
        <f t="shared" si="5"/>
        <v>0</v>
      </c>
      <c r="W13" s="55">
        <v>0</v>
      </c>
      <c r="X13" s="1">
        <f>IFERROR(ROUND(M13*L13*(1-W13), 2), 0)</f>
        <v>0</v>
      </c>
      <c r="Y13" s="1">
        <f t="shared" si="7"/>
        <v>0</v>
      </c>
      <c r="Z13" t="s">
        <v>131</v>
      </c>
      <c r="AA13" t="s">
        <v>134</v>
      </c>
      <c r="AB13" t="s">
        <v>132</v>
      </c>
    </row>
    <row r="14" spans="1:28" ht="28.8" x14ac:dyDescent="0.3">
      <c r="A14" t="s">
        <v>149</v>
      </c>
      <c r="B14" s="41" t="s">
        <v>63</v>
      </c>
      <c r="C14" s="29" t="s">
        <v>18</v>
      </c>
      <c r="D14" t="s">
        <v>110</v>
      </c>
      <c r="E14" t="s">
        <v>113</v>
      </c>
      <c r="F14" t="s">
        <v>33</v>
      </c>
      <c r="G14" s="32" t="s">
        <v>43</v>
      </c>
      <c r="H14" t="s">
        <v>114</v>
      </c>
      <c r="I14">
        <v>1</v>
      </c>
      <c r="J14" t="s">
        <v>49</v>
      </c>
      <c r="K14">
        <v>0</v>
      </c>
      <c r="L14" s="57">
        <v>12213.63</v>
      </c>
      <c r="M14" s="58"/>
      <c r="N14" s="57">
        <v>2</v>
      </c>
      <c r="O14" s="1">
        <f t="shared" ref="O14:O22" si="9">ROUND(N14*L14, 2)</f>
        <v>24427.26</v>
      </c>
      <c r="P14" s="56">
        <f>IFERROR((L14-Q14)/L14,0)</f>
        <v>1</v>
      </c>
      <c r="Q14" s="3">
        <v>0</v>
      </c>
      <c r="R14" s="1">
        <f t="shared" si="8"/>
        <v>0</v>
      </c>
      <c r="S14" s="60">
        <v>1.0000302940239699E-2</v>
      </c>
      <c r="T14" s="60">
        <v>1.0101319192258301E-2</v>
      </c>
      <c r="U14" s="1">
        <f t="shared" si="4"/>
        <v>0</v>
      </c>
      <c r="V14" s="1">
        <f t="shared" si="5"/>
        <v>0</v>
      </c>
      <c r="W14" s="56">
        <f t="shared" ref="W14:W22" si="10">IFERROR((L14-X14)/L14,0)</f>
        <v>1</v>
      </c>
      <c r="X14" s="61">
        <f t="shared" ref="X14:X27" si="11">IFERROR(ROUND(Q14/(1-S14),2),0)</f>
        <v>0</v>
      </c>
      <c r="Y14" s="1">
        <f t="shared" si="7"/>
        <v>0</v>
      </c>
      <c r="Z14" t="s">
        <v>111</v>
      </c>
      <c r="AA14" t="s">
        <v>115</v>
      </c>
      <c r="AB14" t="s">
        <v>150</v>
      </c>
    </row>
    <row r="15" spans="1:28" ht="28.8" x14ac:dyDescent="0.3">
      <c r="A15" t="s">
        <v>151</v>
      </c>
      <c r="B15" s="41" t="s">
        <v>63</v>
      </c>
      <c r="C15" s="29" t="s">
        <v>18</v>
      </c>
      <c r="D15" t="s">
        <v>110</v>
      </c>
      <c r="E15" t="s">
        <v>113</v>
      </c>
      <c r="F15" t="s">
        <v>33</v>
      </c>
      <c r="G15" s="32" t="s">
        <v>43</v>
      </c>
      <c r="H15" t="s">
        <v>153</v>
      </c>
      <c r="I15">
        <v>1</v>
      </c>
      <c r="J15" t="s">
        <v>49</v>
      </c>
      <c r="K15">
        <v>10100.69</v>
      </c>
      <c r="L15" s="57">
        <v>0</v>
      </c>
      <c r="M15" s="58"/>
      <c r="N15" s="57">
        <v>550</v>
      </c>
      <c r="O15" s="1">
        <f t="shared" si="9"/>
        <v>0</v>
      </c>
      <c r="P15" s="56">
        <f>IFERROR((L15-Q15)/L15,0)</f>
        <v>0</v>
      </c>
      <c r="Q15" s="3">
        <v>10100.69</v>
      </c>
      <c r="R15" s="1">
        <f t="shared" si="8"/>
        <v>5555379.5</v>
      </c>
      <c r="S15" s="60">
        <v>0</v>
      </c>
      <c r="T15" s="60">
        <v>0</v>
      </c>
      <c r="U15" s="1">
        <f t="shared" si="4"/>
        <v>0</v>
      </c>
      <c r="V15" s="1">
        <f t="shared" si="5"/>
        <v>0</v>
      </c>
      <c r="W15" s="56">
        <f t="shared" si="10"/>
        <v>0</v>
      </c>
      <c r="X15" s="61">
        <f t="shared" si="11"/>
        <v>10100.69</v>
      </c>
      <c r="Y15" s="1">
        <f t="shared" si="7"/>
        <v>5555379.5</v>
      </c>
      <c r="Z15" t="s">
        <v>111</v>
      </c>
      <c r="AA15" t="s">
        <v>145</v>
      </c>
      <c r="AB15" t="s">
        <v>152</v>
      </c>
    </row>
    <row r="16" spans="1:28" ht="28.8" x14ac:dyDescent="0.3">
      <c r="A16" t="s">
        <v>154</v>
      </c>
      <c r="B16" s="41" t="s">
        <v>63</v>
      </c>
      <c r="C16" s="29" t="s">
        <v>18</v>
      </c>
      <c r="D16" t="s">
        <v>110</v>
      </c>
      <c r="E16" t="s">
        <v>113</v>
      </c>
      <c r="F16" t="s">
        <v>33</v>
      </c>
      <c r="G16" s="32" t="s">
        <v>43</v>
      </c>
      <c r="H16" t="s">
        <v>114</v>
      </c>
      <c r="I16">
        <v>1</v>
      </c>
      <c r="J16" t="s">
        <v>49</v>
      </c>
      <c r="K16">
        <v>-75.849999999999994</v>
      </c>
      <c r="L16" s="57">
        <v>12213.63</v>
      </c>
      <c r="M16" s="58"/>
      <c r="N16" s="57">
        <v>2</v>
      </c>
      <c r="O16" s="1">
        <f t="shared" si="9"/>
        <v>24427.26</v>
      </c>
      <c r="P16" s="56">
        <f>IFERROR((L16-Q16)/L16,0)</f>
        <v>1.0062102749141737</v>
      </c>
      <c r="Q16" s="3">
        <v>-75.849999999999994</v>
      </c>
      <c r="R16" s="1">
        <f t="shared" si="8"/>
        <v>-151.69999999999999</v>
      </c>
      <c r="S16" s="60">
        <v>1.0000302940239699E-2</v>
      </c>
      <c r="T16" s="60">
        <v>1.0101319192258301E-2</v>
      </c>
      <c r="U16" s="1">
        <f t="shared" si="4"/>
        <v>-0.77000000000001023</v>
      </c>
      <c r="V16" s="1">
        <f t="shared" si="5"/>
        <v>-1.54</v>
      </c>
      <c r="W16" s="56">
        <f t="shared" si="10"/>
        <v>1.0062733192343309</v>
      </c>
      <c r="X16" s="61">
        <f t="shared" si="11"/>
        <v>-76.62</v>
      </c>
      <c r="Y16" s="1">
        <f t="shared" si="7"/>
        <v>-153.24</v>
      </c>
      <c r="Z16" t="s">
        <v>111</v>
      </c>
      <c r="AA16" t="s">
        <v>115</v>
      </c>
      <c r="AB16" t="s">
        <v>155</v>
      </c>
    </row>
    <row r="17" spans="1:28" ht="28.8" x14ac:dyDescent="0.3">
      <c r="A17" t="s">
        <v>156</v>
      </c>
      <c r="B17" s="41" t="s">
        <v>63</v>
      </c>
      <c r="C17" s="29" t="s">
        <v>18</v>
      </c>
      <c r="D17" t="s">
        <v>110</v>
      </c>
      <c r="E17" t="s">
        <v>113</v>
      </c>
      <c r="F17" t="s">
        <v>33</v>
      </c>
      <c r="G17" s="32" t="s">
        <v>43</v>
      </c>
      <c r="H17" t="s">
        <v>114</v>
      </c>
      <c r="I17">
        <v>1</v>
      </c>
      <c r="J17" t="s">
        <v>49</v>
      </c>
      <c r="K17">
        <v>15045.74</v>
      </c>
      <c r="L17" s="57">
        <v>12213.63</v>
      </c>
      <c r="M17" s="58"/>
      <c r="N17" s="57">
        <v>2</v>
      </c>
      <c r="O17" s="1">
        <f t="shared" si="9"/>
        <v>24427.26</v>
      </c>
      <c r="P17" s="56">
        <f>IFERROR((L17-Q17)/L17,0)</f>
        <v>-0.23188110332472825</v>
      </c>
      <c r="Q17" s="3">
        <v>15045.74</v>
      </c>
      <c r="R17" s="1">
        <f t="shared" si="8"/>
        <v>30091.48</v>
      </c>
      <c r="S17" s="60">
        <v>1.0000302940239699E-2</v>
      </c>
      <c r="T17" s="60">
        <v>1.0101319192258301E-2</v>
      </c>
      <c r="U17" s="1">
        <f t="shared" si="4"/>
        <v>151.97999999999956</v>
      </c>
      <c r="V17" s="1">
        <f t="shared" si="5"/>
        <v>303.95999999999998</v>
      </c>
      <c r="W17" s="56">
        <f t="shared" si="10"/>
        <v>-0.24432457836040558</v>
      </c>
      <c r="X17" s="61">
        <f t="shared" si="11"/>
        <v>15197.72</v>
      </c>
      <c r="Y17" s="1">
        <f t="shared" si="7"/>
        <v>30395.439999999999</v>
      </c>
      <c r="Z17" t="s">
        <v>111</v>
      </c>
      <c r="AA17" t="s">
        <v>115</v>
      </c>
      <c r="AB17" t="s">
        <v>157</v>
      </c>
    </row>
    <row r="18" spans="1:28" ht="28.8" x14ac:dyDescent="0.3">
      <c r="A18" t="s">
        <v>158</v>
      </c>
      <c r="B18" s="41" t="s">
        <v>63</v>
      </c>
      <c r="C18" s="29" t="s">
        <v>18</v>
      </c>
      <c r="D18" t="s">
        <v>110</v>
      </c>
      <c r="E18" t="s">
        <v>113</v>
      </c>
      <c r="F18" t="s">
        <v>33</v>
      </c>
      <c r="G18" s="32" t="s">
        <v>43</v>
      </c>
      <c r="H18" t="s">
        <v>114</v>
      </c>
      <c r="I18">
        <v>1</v>
      </c>
      <c r="J18" t="s">
        <v>39</v>
      </c>
      <c r="K18">
        <v>-15.38</v>
      </c>
      <c r="L18" s="57">
        <v>12213.63</v>
      </c>
      <c r="M18" s="58"/>
      <c r="N18" s="57">
        <v>2</v>
      </c>
      <c r="O18" s="1">
        <f t="shared" si="9"/>
        <v>24427.26</v>
      </c>
      <c r="P18" s="62">
        <v>-0.15379999999999999</v>
      </c>
      <c r="Q18" s="1">
        <f>IFERROR(ROUND(L18*(1-P18), 2), 0)</f>
        <v>14092.09</v>
      </c>
      <c r="R18" s="1">
        <f t="shared" si="8"/>
        <v>28184.18</v>
      </c>
      <c r="S18" s="60">
        <v>1.0000302940239699E-2</v>
      </c>
      <c r="T18" s="60">
        <v>1.0101319192258301E-2</v>
      </c>
      <c r="U18" s="1">
        <f t="shared" si="4"/>
        <v>142.35000000000036</v>
      </c>
      <c r="V18" s="1">
        <f t="shared" si="5"/>
        <v>284.7</v>
      </c>
      <c r="W18" s="56">
        <f t="shared" si="10"/>
        <v>-0.16545531508650593</v>
      </c>
      <c r="X18" s="61">
        <f t="shared" si="11"/>
        <v>14234.44</v>
      </c>
      <c r="Y18" s="1">
        <f t="shared" si="7"/>
        <v>28468.880000000001</v>
      </c>
      <c r="Z18" t="s">
        <v>111</v>
      </c>
      <c r="AA18" t="s">
        <v>115</v>
      </c>
      <c r="AB18" t="s">
        <v>159</v>
      </c>
    </row>
    <row r="19" spans="1:28" ht="28.8" x14ac:dyDescent="0.3">
      <c r="A19" t="s">
        <v>160</v>
      </c>
      <c r="B19" s="41" t="s">
        <v>63</v>
      </c>
      <c r="C19" s="29" t="s">
        <v>18</v>
      </c>
      <c r="D19" t="s">
        <v>130</v>
      </c>
      <c r="E19" t="s">
        <v>113</v>
      </c>
      <c r="F19" t="s">
        <v>33</v>
      </c>
      <c r="G19" s="32" t="s">
        <v>43</v>
      </c>
      <c r="H19" t="s">
        <v>138</v>
      </c>
      <c r="I19">
        <v>1</v>
      </c>
      <c r="J19" t="s">
        <v>39</v>
      </c>
      <c r="K19">
        <v>0</v>
      </c>
      <c r="L19" s="57">
        <v>1761</v>
      </c>
      <c r="M19" s="3"/>
      <c r="N19" s="57">
        <v>72</v>
      </c>
      <c r="O19" s="1">
        <f t="shared" si="9"/>
        <v>126792</v>
      </c>
      <c r="P19" s="63">
        <v>0</v>
      </c>
      <c r="Q19" s="1">
        <f>IFERROR(ROUND(L19*(1-P19), 2), 0)</f>
        <v>1761</v>
      </c>
      <c r="R19" s="1">
        <f t="shared" si="8"/>
        <v>126792</v>
      </c>
      <c r="S19" s="60">
        <v>0.28390119250425799</v>
      </c>
      <c r="T19" s="60">
        <v>0.396455334840014</v>
      </c>
      <c r="U19" s="1">
        <f t="shared" si="4"/>
        <v>698.15999999999985</v>
      </c>
      <c r="V19" s="1">
        <f t="shared" si="5"/>
        <v>50267.519999999997</v>
      </c>
      <c r="W19" s="56">
        <f t="shared" si="10"/>
        <v>-0.39645655877342412</v>
      </c>
      <c r="X19" s="61">
        <f t="shared" si="11"/>
        <v>2459.16</v>
      </c>
      <c r="Y19" s="1">
        <f t="shared" si="7"/>
        <v>177059.52</v>
      </c>
      <c r="Z19" t="s">
        <v>131</v>
      </c>
      <c r="AA19" t="s">
        <v>61</v>
      </c>
      <c r="AB19" t="s">
        <v>161</v>
      </c>
    </row>
    <row r="20" spans="1:28" ht="28.8" x14ac:dyDescent="0.3">
      <c r="A20" t="s">
        <v>162</v>
      </c>
      <c r="B20" s="41" t="s">
        <v>63</v>
      </c>
      <c r="C20" s="29" t="s">
        <v>18</v>
      </c>
      <c r="D20" t="s">
        <v>130</v>
      </c>
      <c r="E20" t="s">
        <v>113</v>
      </c>
      <c r="F20" t="s">
        <v>33</v>
      </c>
      <c r="G20" s="32" t="s">
        <v>43</v>
      </c>
      <c r="H20" t="s">
        <v>164</v>
      </c>
      <c r="I20">
        <v>1</v>
      </c>
      <c r="J20" t="s">
        <v>39</v>
      </c>
      <c r="K20">
        <v>38.76</v>
      </c>
      <c r="L20" s="57">
        <v>0</v>
      </c>
      <c r="M20" s="3"/>
      <c r="N20" s="57">
        <v>72</v>
      </c>
      <c r="O20" s="1">
        <f t="shared" si="9"/>
        <v>0</v>
      </c>
      <c r="P20" s="63">
        <v>0.3876</v>
      </c>
      <c r="Q20" s="1">
        <f>IFERROR(ROUND(L20*(1-P20), 2), 0)</f>
        <v>0</v>
      </c>
      <c r="R20" s="1">
        <f t="shared" si="8"/>
        <v>0</v>
      </c>
      <c r="S20" s="60">
        <v>0</v>
      </c>
      <c r="T20" s="60">
        <v>0</v>
      </c>
      <c r="U20" s="1">
        <f t="shared" si="4"/>
        <v>0</v>
      </c>
      <c r="V20" s="1">
        <f t="shared" si="5"/>
        <v>0</v>
      </c>
      <c r="W20" s="56">
        <f t="shared" si="10"/>
        <v>0</v>
      </c>
      <c r="X20" s="61">
        <f t="shared" si="11"/>
        <v>0</v>
      </c>
      <c r="Y20" s="1">
        <f t="shared" si="7"/>
        <v>0</v>
      </c>
      <c r="Z20" t="s">
        <v>131</v>
      </c>
      <c r="AA20" t="s">
        <v>115</v>
      </c>
      <c r="AB20" t="s">
        <v>163</v>
      </c>
    </row>
    <row r="21" spans="1:28" ht="28.8" x14ac:dyDescent="0.3">
      <c r="A21" t="s">
        <v>165</v>
      </c>
      <c r="B21" s="41" t="s">
        <v>63</v>
      </c>
      <c r="C21" s="29" t="s">
        <v>18</v>
      </c>
      <c r="D21" t="s">
        <v>130</v>
      </c>
      <c r="E21" t="s">
        <v>113</v>
      </c>
      <c r="F21" t="s">
        <v>33</v>
      </c>
      <c r="G21" s="32" t="s">
        <v>43</v>
      </c>
      <c r="H21" t="s">
        <v>138</v>
      </c>
      <c r="I21">
        <v>1</v>
      </c>
      <c r="J21" t="s">
        <v>39</v>
      </c>
      <c r="K21">
        <v>100</v>
      </c>
      <c r="L21" s="57">
        <v>1761</v>
      </c>
      <c r="M21" s="3"/>
      <c r="N21" s="57">
        <v>72</v>
      </c>
      <c r="O21" s="1">
        <f t="shared" si="9"/>
        <v>126792</v>
      </c>
      <c r="P21" s="63">
        <v>1</v>
      </c>
      <c r="Q21" s="1">
        <f>IFERROR(ROUND(L21*(1-P21), 2), 0)</f>
        <v>0</v>
      </c>
      <c r="R21" s="1">
        <f t="shared" si="8"/>
        <v>0</v>
      </c>
      <c r="S21" s="60">
        <v>0.28390119250425799</v>
      </c>
      <c r="T21" s="60">
        <v>0.396455334840014</v>
      </c>
      <c r="U21" s="1">
        <f t="shared" si="4"/>
        <v>0</v>
      </c>
      <c r="V21" s="1">
        <f t="shared" si="5"/>
        <v>0</v>
      </c>
      <c r="W21" s="56">
        <f t="shared" si="10"/>
        <v>1</v>
      </c>
      <c r="X21" s="61">
        <f t="shared" si="11"/>
        <v>0</v>
      </c>
      <c r="Y21" s="1">
        <f t="shared" si="7"/>
        <v>0</v>
      </c>
      <c r="Z21" t="s">
        <v>131</v>
      </c>
      <c r="AA21" t="s">
        <v>61</v>
      </c>
      <c r="AB21" t="s">
        <v>166</v>
      </c>
    </row>
    <row r="22" spans="1:28" ht="28.8" x14ac:dyDescent="0.3">
      <c r="A22" t="s">
        <v>167</v>
      </c>
      <c r="B22" s="41" t="s">
        <v>63</v>
      </c>
      <c r="C22" s="29" t="s">
        <v>18</v>
      </c>
      <c r="D22" t="s">
        <v>130</v>
      </c>
      <c r="E22" t="s">
        <v>113</v>
      </c>
      <c r="F22" t="s">
        <v>33</v>
      </c>
      <c r="G22" s="32" t="s">
        <v>43</v>
      </c>
      <c r="H22" t="s">
        <v>138</v>
      </c>
      <c r="I22">
        <v>1</v>
      </c>
      <c r="J22" t="s">
        <v>39</v>
      </c>
      <c r="K22">
        <v>38.76</v>
      </c>
      <c r="L22" s="57">
        <v>1761</v>
      </c>
      <c r="M22" s="3"/>
      <c r="N22" s="57">
        <v>72</v>
      </c>
      <c r="O22" s="1">
        <f t="shared" si="9"/>
        <v>126792</v>
      </c>
      <c r="P22" s="63">
        <v>0.3876</v>
      </c>
      <c r="Q22" s="1">
        <f>IFERROR(ROUND(L22*(1-P22), 2), 0)</f>
        <v>1078.44</v>
      </c>
      <c r="R22" s="1">
        <f t="shared" si="8"/>
        <v>77647.679999999993</v>
      </c>
      <c r="S22" s="60">
        <v>0.28390119250425799</v>
      </c>
      <c r="T22" s="60">
        <v>0.396455334840014</v>
      </c>
      <c r="U22" s="1">
        <f t="shared" si="4"/>
        <v>427.54999999999995</v>
      </c>
      <c r="V22" s="1">
        <f t="shared" si="5"/>
        <v>30783.599999999999</v>
      </c>
      <c r="W22" s="56">
        <f t="shared" si="10"/>
        <v>0.14480976717773991</v>
      </c>
      <c r="X22" s="61">
        <f t="shared" si="11"/>
        <v>1505.99</v>
      </c>
      <c r="Y22" s="1">
        <f t="shared" si="7"/>
        <v>108431.28</v>
      </c>
      <c r="Z22" t="s">
        <v>131</v>
      </c>
      <c r="AA22" t="s">
        <v>61</v>
      </c>
      <c r="AB22" t="s">
        <v>168</v>
      </c>
    </row>
    <row r="23" spans="1:28" ht="28.8" x14ac:dyDescent="0.3">
      <c r="A23" t="s">
        <v>169</v>
      </c>
      <c r="B23" s="41" t="s">
        <v>63</v>
      </c>
      <c r="C23" s="29" t="s">
        <v>18</v>
      </c>
      <c r="D23" t="s">
        <v>130</v>
      </c>
      <c r="E23" t="s">
        <v>113</v>
      </c>
      <c r="F23" t="s">
        <v>33</v>
      </c>
      <c r="G23" s="32" t="s">
        <v>43</v>
      </c>
      <c r="H23" t="s">
        <v>133</v>
      </c>
      <c r="I23">
        <v>1</v>
      </c>
      <c r="J23" t="s">
        <v>39</v>
      </c>
      <c r="K23">
        <v>200</v>
      </c>
      <c r="L23" s="57">
        <v>70</v>
      </c>
      <c r="M23" s="58">
        <v>36</v>
      </c>
      <c r="N23" s="57">
        <v>72</v>
      </c>
      <c r="O23" s="1">
        <f>ROUND(M23*N23*L23, 2)</f>
        <v>181440</v>
      </c>
      <c r="P23" s="63">
        <v>2</v>
      </c>
      <c r="Q23" s="1">
        <f>IFERROR(ROUND(M23*L23*(1-P23), 2), 0)</f>
        <v>-2520</v>
      </c>
      <c r="R23" s="1">
        <f t="shared" si="8"/>
        <v>-181440</v>
      </c>
      <c r="S23" s="60">
        <v>0.59</v>
      </c>
      <c r="T23" s="60">
        <v>1.4390243902438999</v>
      </c>
      <c r="U23" s="1">
        <f t="shared" si="4"/>
        <v>-3626.34</v>
      </c>
      <c r="V23" s="1">
        <f t="shared" si="5"/>
        <v>-261096.48</v>
      </c>
      <c r="W23" s="56">
        <f>IFERROR((M23*L23-X23)/(L23*M23),0)</f>
        <v>3.4390238095238095</v>
      </c>
      <c r="X23" s="61">
        <f t="shared" si="11"/>
        <v>-6146.34</v>
      </c>
      <c r="Y23" s="1">
        <f t="shared" si="7"/>
        <v>-442536.48</v>
      </c>
      <c r="Z23" t="s">
        <v>131</v>
      </c>
      <c r="AA23" t="s">
        <v>134</v>
      </c>
      <c r="AB23" t="s">
        <v>170</v>
      </c>
    </row>
    <row r="24" spans="1:28" ht="28.8" x14ac:dyDescent="0.3">
      <c r="A24" t="s">
        <v>171</v>
      </c>
      <c r="B24" s="41" t="s">
        <v>63</v>
      </c>
      <c r="C24" s="29" t="s">
        <v>18</v>
      </c>
      <c r="D24" t="s">
        <v>110</v>
      </c>
      <c r="E24" t="s">
        <v>113</v>
      </c>
      <c r="F24" t="s">
        <v>33</v>
      </c>
      <c r="G24" s="32" t="s">
        <v>43</v>
      </c>
      <c r="H24" t="s">
        <v>173</v>
      </c>
      <c r="I24">
        <v>1</v>
      </c>
      <c r="J24" t="s">
        <v>51</v>
      </c>
      <c r="K24">
        <v>0</v>
      </c>
      <c r="L24" s="57">
        <v>1225.1400000000001</v>
      </c>
      <c r="M24" s="58"/>
      <c r="N24" s="57">
        <v>5</v>
      </c>
      <c r="O24" s="1">
        <f>ROUND(N24*L24, 2)</f>
        <v>6125.7</v>
      </c>
      <c r="P24" s="56">
        <v>0.66100000000000003</v>
      </c>
      <c r="Q24" s="58">
        <v>415.32</v>
      </c>
      <c r="R24" s="1">
        <v>2076.6</v>
      </c>
      <c r="S24" s="64">
        <v>0</v>
      </c>
      <c r="T24" s="56">
        <f t="shared" ref="T24:T34" si="12">IFERROR((X24-Q24)/Q24,0)</f>
        <v>0</v>
      </c>
      <c r="U24" s="1">
        <f t="shared" si="4"/>
        <v>0</v>
      </c>
      <c r="V24" s="1">
        <f t="shared" si="5"/>
        <v>0</v>
      </c>
      <c r="W24" s="56">
        <f>IFERROR((L24-X24)/L24,0)</f>
        <v>0.66100200793378727</v>
      </c>
      <c r="X24" s="61">
        <f t="shared" si="11"/>
        <v>415.32</v>
      </c>
      <c r="Y24" s="1">
        <f t="shared" si="7"/>
        <v>2076.6</v>
      </c>
      <c r="Z24" t="s">
        <v>111</v>
      </c>
      <c r="AA24" t="s">
        <v>145</v>
      </c>
      <c r="AB24" t="s">
        <v>172</v>
      </c>
    </row>
    <row r="25" spans="1:28" ht="28.8" x14ac:dyDescent="0.3">
      <c r="A25" t="s">
        <v>174</v>
      </c>
      <c r="B25" s="41" t="s">
        <v>63</v>
      </c>
      <c r="C25" s="29" t="s">
        <v>18</v>
      </c>
      <c r="D25" t="s">
        <v>110</v>
      </c>
      <c r="E25" t="s">
        <v>113</v>
      </c>
      <c r="F25" t="s">
        <v>33</v>
      </c>
      <c r="G25" s="32" t="s">
        <v>43</v>
      </c>
      <c r="H25" t="s">
        <v>173</v>
      </c>
      <c r="I25">
        <v>1</v>
      </c>
      <c r="J25" t="s">
        <v>51</v>
      </c>
      <c r="K25">
        <v>-23.65</v>
      </c>
      <c r="L25" s="57">
        <v>1225.1400000000001</v>
      </c>
      <c r="M25" s="58"/>
      <c r="N25" s="57">
        <v>5</v>
      </c>
      <c r="O25" s="1">
        <f>ROUND(N25*L25, 2)</f>
        <v>6125.7</v>
      </c>
      <c r="P25" s="56">
        <v>0.66100000000000003</v>
      </c>
      <c r="Q25" s="58">
        <v>415.32</v>
      </c>
      <c r="R25" s="1">
        <v>2076.6</v>
      </c>
      <c r="S25" s="64">
        <v>-0.23649999999999999</v>
      </c>
      <c r="T25" s="56">
        <f t="shared" si="12"/>
        <v>-0.19127419820861022</v>
      </c>
      <c r="U25" s="1">
        <f t="shared" si="4"/>
        <v>-79.44</v>
      </c>
      <c r="V25" s="1">
        <f t="shared" si="5"/>
        <v>-397.2</v>
      </c>
      <c r="W25" s="56">
        <f>IFERROR((L25-X25)/L25,0)</f>
        <v>0.72584357706058089</v>
      </c>
      <c r="X25" s="61">
        <f t="shared" si="11"/>
        <v>335.88</v>
      </c>
      <c r="Y25" s="1">
        <f t="shared" si="7"/>
        <v>1679.4</v>
      </c>
      <c r="Z25" t="s">
        <v>111</v>
      </c>
      <c r="AA25" t="s">
        <v>145</v>
      </c>
      <c r="AB25" t="s">
        <v>175</v>
      </c>
    </row>
    <row r="26" spans="1:28" ht="28.8" x14ac:dyDescent="0.3">
      <c r="A26" t="s">
        <v>176</v>
      </c>
      <c r="B26" s="41" t="s">
        <v>63</v>
      </c>
      <c r="C26" s="29" t="s">
        <v>18</v>
      </c>
      <c r="D26" t="s">
        <v>130</v>
      </c>
      <c r="E26" t="s">
        <v>113</v>
      </c>
      <c r="F26" t="s">
        <v>33</v>
      </c>
      <c r="G26" s="32" t="s">
        <v>43</v>
      </c>
      <c r="H26" t="s">
        <v>138</v>
      </c>
      <c r="I26">
        <v>1</v>
      </c>
      <c r="J26" t="s">
        <v>51</v>
      </c>
      <c r="K26">
        <v>29.37</v>
      </c>
      <c r="L26" s="57">
        <v>1761</v>
      </c>
      <c r="M26" s="58"/>
      <c r="N26" s="57">
        <v>72</v>
      </c>
      <c r="O26" s="1">
        <f>ROUND(N26*L26, 2)</f>
        <v>126792</v>
      </c>
      <c r="P26" s="56">
        <v>0.28389999999999999</v>
      </c>
      <c r="Q26" s="58">
        <v>1261.05</v>
      </c>
      <c r="R26" s="1">
        <v>90795.6</v>
      </c>
      <c r="S26" s="64">
        <v>0.29370000000000002</v>
      </c>
      <c r="T26" s="56">
        <f t="shared" si="12"/>
        <v>0.41582807977479097</v>
      </c>
      <c r="U26" s="1">
        <f t="shared" si="4"/>
        <v>524.38000000000011</v>
      </c>
      <c r="V26" s="1">
        <f t="shared" si="5"/>
        <v>37755.360000000001</v>
      </c>
      <c r="W26" s="56">
        <f>IFERROR((L26-X26)/L26,0)</f>
        <v>-1.3872799545712699E-2</v>
      </c>
      <c r="X26" s="61">
        <f t="shared" si="11"/>
        <v>1785.43</v>
      </c>
      <c r="Y26" s="1">
        <f t="shared" si="7"/>
        <v>128550.96</v>
      </c>
      <c r="Z26" t="s">
        <v>131</v>
      </c>
      <c r="AA26" t="s">
        <v>61</v>
      </c>
      <c r="AB26" t="s">
        <v>177</v>
      </c>
    </row>
    <row r="27" spans="1:28" ht="28.8" x14ac:dyDescent="0.3">
      <c r="A27" t="s">
        <v>178</v>
      </c>
      <c r="B27" s="41" t="s">
        <v>63</v>
      </c>
      <c r="C27" s="29" t="s">
        <v>18</v>
      </c>
      <c r="D27" t="s">
        <v>130</v>
      </c>
      <c r="E27" t="s">
        <v>113</v>
      </c>
      <c r="F27" t="s">
        <v>33</v>
      </c>
      <c r="G27" s="32" t="s">
        <v>43</v>
      </c>
      <c r="H27" t="s">
        <v>133</v>
      </c>
      <c r="I27">
        <v>1</v>
      </c>
      <c r="J27" t="s">
        <v>51</v>
      </c>
      <c r="K27">
        <v>100</v>
      </c>
      <c r="L27" s="57">
        <v>70</v>
      </c>
      <c r="M27" s="58">
        <v>36</v>
      </c>
      <c r="N27" s="57">
        <v>72</v>
      </c>
      <c r="O27" s="1">
        <f>ROUND(M27*N27*L27, 2)</f>
        <v>181440</v>
      </c>
      <c r="P27" s="56">
        <v>0.59</v>
      </c>
      <c r="Q27" s="58">
        <v>1033.2</v>
      </c>
      <c r="R27" s="1">
        <v>74390.399999999994</v>
      </c>
      <c r="S27" s="64">
        <v>1</v>
      </c>
      <c r="T27" s="56">
        <f t="shared" si="12"/>
        <v>-1</v>
      </c>
      <c r="U27" s="1">
        <f t="shared" si="4"/>
        <v>-1033.2</v>
      </c>
      <c r="V27" s="1">
        <f t="shared" si="5"/>
        <v>-74390.399999999994</v>
      </c>
      <c r="W27" s="56">
        <f>IFERROR((M27*L27-X27)/(L27*M27),0)</f>
        <v>1</v>
      </c>
      <c r="X27" s="61">
        <f t="shared" si="11"/>
        <v>0</v>
      </c>
      <c r="Y27" s="1">
        <f t="shared" si="7"/>
        <v>0</v>
      </c>
      <c r="Z27" t="s">
        <v>131</v>
      </c>
      <c r="AA27" t="s">
        <v>134</v>
      </c>
      <c r="AB27" t="s">
        <v>179</v>
      </c>
    </row>
    <row r="28" spans="1:28" ht="28.8" x14ac:dyDescent="0.3">
      <c r="A28" t="s">
        <v>180</v>
      </c>
      <c r="B28" s="41" t="s">
        <v>63</v>
      </c>
      <c r="C28" s="29" t="s">
        <v>18</v>
      </c>
      <c r="D28" t="s">
        <v>110</v>
      </c>
      <c r="E28" t="s">
        <v>113</v>
      </c>
      <c r="F28" t="s">
        <v>33</v>
      </c>
      <c r="G28" s="32" t="s">
        <v>43</v>
      </c>
      <c r="H28" t="s">
        <v>182</v>
      </c>
      <c r="I28">
        <v>1</v>
      </c>
      <c r="J28" t="s">
        <v>56</v>
      </c>
      <c r="K28">
        <v>0</v>
      </c>
      <c r="L28" s="57">
        <v>6300.31</v>
      </c>
      <c r="M28" s="58"/>
      <c r="N28" s="57">
        <v>2</v>
      </c>
      <c r="O28" s="1">
        <f>ROUND(N28*L28, 2)</f>
        <v>12600.62</v>
      </c>
      <c r="P28" s="56">
        <v>0.4</v>
      </c>
      <c r="Q28" s="58">
        <v>3780.19</v>
      </c>
      <c r="R28" s="1">
        <v>7560.38</v>
      </c>
      <c r="S28" s="56">
        <f t="shared" ref="S28:S46" si="13">IFERROR((X28-Q28)/X28,0)</f>
        <v>0</v>
      </c>
      <c r="T28" s="56">
        <f t="shared" si="12"/>
        <v>-1</v>
      </c>
      <c r="U28" s="1">
        <f t="shared" si="4"/>
        <v>-3780.19</v>
      </c>
      <c r="V28" s="1">
        <f t="shared" si="5"/>
        <v>-7560.38</v>
      </c>
      <c r="W28" s="56">
        <f>IFERROR((L28-X28)/L28,0)</f>
        <v>1</v>
      </c>
      <c r="X28" s="3">
        <v>0</v>
      </c>
      <c r="Y28" s="1">
        <f t="shared" si="7"/>
        <v>0</v>
      </c>
      <c r="Z28" t="s">
        <v>111</v>
      </c>
      <c r="AA28" t="s">
        <v>145</v>
      </c>
      <c r="AB28" t="s">
        <v>181</v>
      </c>
    </row>
    <row r="29" spans="1:28" ht="28.8" x14ac:dyDescent="0.3">
      <c r="A29" s="65" t="s">
        <v>183</v>
      </c>
      <c r="B29" s="41" t="s">
        <v>63</v>
      </c>
      <c r="C29" s="29" t="s">
        <v>18</v>
      </c>
      <c r="D29" s="65" t="s">
        <v>110</v>
      </c>
      <c r="E29" s="65" t="s">
        <v>113</v>
      </c>
      <c r="F29" s="65" t="s">
        <v>33</v>
      </c>
      <c r="G29" s="32" t="s">
        <v>43</v>
      </c>
      <c r="H29" s="65" t="s">
        <v>185</v>
      </c>
      <c r="I29" s="65">
        <v>1</v>
      </c>
      <c r="J29" s="65" t="s">
        <v>56</v>
      </c>
      <c r="K29" s="65">
        <v>144.86000000000001</v>
      </c>
      <c r="L29" s="57">
        <v>0</v>
      </c>
      <c r="M29" s="58"/>
      <c r="N29" s="57">
        <v>2</v>
      </c>
      <c r="O29" s="66">
        <v>0</v>
      </c>
      <c r="P29" s="67">
        <v>0</v>
      </c>
      <c r="Q29" s="58">
        <v>0</v>
      </c>
      <c r="R29" s="66">
        <v>0</v>
      </c>
      <c r="S29" s="56">
        <f t="shared" si="13"/>
        <v>1</v>
      </c>
      <c r="T29" s="56">
        <f t="shared" si="12"/>
        <v>0</v>
      </c>
      <c r="U29" s="1">
        <f t="shared" si="4"/>
        <v>144.86000000000001</v>
      </c>
      <c r="V29" s="1">
        <f t="shared" si="5"/>
        <v>289.72000000000003</v>
      </c>
      <c r="W29" s="56">
        <f>IFERROR((L29-X29)/L29,0)</f>
        <v>0</v>
      </c>
      <c r="X29" s="3">
        <v>144.86000000000001</v>
      </c>
      <c r="Y29" s="1">
        <f t="shared" si="7"/>
        <v>289.72000000000003</v>
      </c>
      <c r="Z29" s="65" t="s">
        <v>111</v>
      </c>
      <c r="AA29" s="65" t="s">
        <v>115</v>
      </c>
      <c r="AB29" s="65" t="s">
        <v>184</v>
      </c>
    </row>
    <row r="30" spans="1:28" ht="28.8" x14ac:dyDescent="0.3">
      <c r="A30" t="s">
        <v>186</v>
      </c>
      <c r="B30" s="41" t="s">
        <v>63</v>
      </c>
      <c r="C30" s="29" t="s">
        <v>18</v>
      </c>
      <c r="D30" t="s">
        <v>130</v>
      </c>
      <c r="E30" t="s">
        <v>113</v>
      </c>
      <c r="F30" t="s">
        <v>33</v>
      </c>
      <c r="G30" s="32" t="s">
        <v>43</v>
      </c>
      <c r="H30" t="s">
        <v>138</v>
      </c>
      <c r="I30">
        <v>1</v>
      </c>
      <c r="J30" t="s">
        <v>56</v>
      </c>
      <c r="K30">
        <v>-567.92999999999995</v>
      </c>
      <c r="L30" s="57">
        <v>1761</v>
      </c>
      <c r="M30" s="58"/>
      <c r="N30" s="57">
        <v>72</v>
      </c>
      <c r="O30" s="1">
        <v>126792</v>
      </c>
      <c r="P30" s="56">
        <v>0.28389999999999999</v>
      </c>
      <c r="Q30" s="58">
        <v>1261.05</v>
      </c>
      <c r="R30" s="1">
        <v>90795.6</v>
      </c>
      <c r="S30" s="56">
        <f t="shared" si="13"/>
        <v>3.2204320955047279</v>
      </c>
      <c r="T30" s="56">
        <f t="shared" si="12"/>
        <v>-1.4503627929106697</v>
      </c>
      <c r="U30" s="1">
        <f t="shared" si="4"/>
        <v>-1828.98</v>
      </c>
      <c r="V30" s="1">
        <f t="shared" si="5"/>
        <v>-131686.56</v>
      </c>
      <c r="W30" s="56">
        <f>IFERROR((L30-X30)/L30,0)</f>
        <v>1.3225042589437819</v>
      </c>
      <c r="X30" s="3">
        <v>-567.92999999999995</v>
      </c>
      <c r="Y30" s="1">
        <f t="shared" si="7"/>
        <v>-40890.959999999999</v>
      </c>
      <c r="Z30" t="s">
        <v>131</v>
      </c>
      <c r="AA30" t="s">
        <v>61</v>
      </c>
      <c r="AB30" t="s">
        <v>187</v>
      </c>
    </row>
    <row r="31" spans="1:28" ht="28.8" x14ac:dyDescent="0.3">
      <c r="A31" t="s">
        <v>188</v>
      </c>
      <c r="B31" s="41" t="s">
        <v>63</v>
      </c>
      <c r="C31" s="29" t="s">
        <v>18</v>
      </c>
      <c r="D31" t="s">
        <v>130</v>
      </c>
      <c r="E31" t="s">
        <v>113</v>
      </c>
      <c r="F31" t="s">
        <v>33</v>
      </c>
      <c r="G31" s="32" t="s">
        <v>43</v>
      </c>
      <c r="H31" t="s">
        <v>133</v>
      </c>
      <c r="I31">
        <v>1</v>
      </c>
      <c r="J31" t="s">
        <v>56</v>
      </c>
      <c r="K31">
        <v>-567.92999999999995</v>
      </c>
      <c r="L31" s="57">
        <v>70</v>
      </c>
      <c r="M31" s="58">
        <v>36</v>
      </c>
      <c r="N31" s="57">
        <v>72</v>
      </c>
      <c r="O31" s="1">
        <v>181440</v>
      </c>
      <c r="P31" s="56">
        <v>0.59</v>
      </c>
      <c r="Q31" s="58">
        <v>1033.2</v>
      </c>
      <c r="R31" s="1">
        <v>74390.399999999994</v>
      </c>
      <c r="S31" s="56">
        <f t="shared" si="13"/>
        <v>0.71913838659519169</v>
      </c>
      <c r="T31" s="56">
        <f t="shared" si="12"/>
        <v>2.560472319008904</v>
      </c>
      <c r="U31" s="1">
        <f t="shared" si="4"/>
        <v>2645.4799999999996</v>
      </c>
      <c r="V31" s="1">
        <f t="shared" si="5"/>
        <v>190474.56</v>
      </c>
      <c r="W31" s="56">
        <f>IFERROR((M31*L31-X31)/(L31*M31),0)</f>
        <v>-0.45979365079365075</v>
      </c>
      <c r="X31" s="3">
        <v>3678.68</v>
      </c>
      <c r="Y31" s="1">
        <f t="shared" si="7"/>
        <v>264864.96000000002</v>
      </c>
      <c r="Z31" t="s">
        <v>131</v>
      </c>
      <c r="AA31" t="s">
        <v>134</v>
      </c>
      <c r="AB31" t="s">
        <v>189</v>
      </c>
    </row>
    <row r="32" spans="1:28" ht="28.8" x14ac:dyDescent="0.3">
      <c r="A32" s="65" t="s">
        <v>190</v>
      </c>
      <c r="B32" s="41" t="s">
        <v>63</v>
      </c>
      <c r="C32" s="29" t="s">
        <v>18</v>
      </c>
      <c r="D32" s="65" t="s">
        <v>110</v>
      </c>
      <c r="E32" s="65" t="s">
        <v>113</v>
      </c>
      <c r="F32" s="65" t="s">
        <v>33</v>
      </c>
      <c r="G32" s="32" t="s">
        <v>43</v>
      </c>
      <c r="H32" s="65" t="s">
        <v>192</v>
      </c>
      <c r="I32" s="65">
        <v>1</v>
      </c>
      <c r="J32" s="65" t="s">
        <v>56</v>
      </c>
      <c r="K32" s="65">
        <v>36821.870000000003</v>
      </c>
      <c r="L32" s="57">
        <v>69846.12</v>
      </c>
      <c r="M32" s="58">
        <v>36</v>
      </c>
      <c r="N32" s="57">
        <v>2</v>
      </c>
      <c r="O32" s="66">
        <v>139692.24</v>
      </c>
      <c r="P32" s="67">
        <v>0.4</v>
      </c>
      <c r="Q32" s="58">
        <v>41907.599999999999</v>
      </c>
      <c r="R32" s="66">
        <v>83815.199999999997</v>
      </c>
      <c r="S32" s="56">
        <f t="shared" si="13"/>
        <v>-0.13811710268924407</v>
      </c>
      <c r="T32" s="56">
        <f t="shared" si="12"/>
        <v>-0.12135579226679638</v>
      </c>
      <c r="U32" s="1">
        <f t="shared" si="4"/>
        <v>-5085.7299999999959</v>
      </c>
      <c r="V32" s="1">
        <f t="shared" si="5"/>
        <v>-10171.459999999999</v>
      </c>
      <c r="W32" s="56">
        <f>IFERROR((L32-X32)/L32,0)</f>
        <v>0.47281438109947976</v>
      </c>
      <c r="X32" s="3">
        <v>36821.870000000003</v>
      </c>
      <c r="Y32" s="1">
        <f t="shared" si="7"/>
        <v>73643.740000000005</v>
      </c>
      <c r="Z32" s="65" t="s">
        <v>111</v>
      </c>
      <c r="AA32" s="65" t="s">
        <v>61</v>
      </c>
      <c r="AB32" s="65" t="s">
        <v>191</v>
      </c>
    </row>
    <row r="33" spans="1:28" ht="28.8" x14ac:dyDescent="0.3">
      <c r="A33" s="65" t="s">
        <v>193</v>
      </c>
      <c r="B33" s="41" t="s">
        <v>63</v>
      </c>
      <c r="C33" s="29" t="s">
        <v>18</v>
      </c>
      <c r="D33" s="65" t="s">
        <v>110</v>
      </c>
      <c r="E33" s="65" t="s">
        <v>113</v>
      </c>
      <c r="F33" s="65" t="s">
        <v>33</v>
      </c>
      <c r="G33" s="32" t="s">
        <v>43</v>
      </c>
      <c r="H33" s="65" t="s">
        <v>195</v>
      </c>
      <c r="I33" s="65">
        <v>2</v>
      </c>
      <c r="J33" s="65" t="s">
        <v>56</v>
      </c>
      <c r="K33" s="65">
        <v>95821.29</v>
      </c>
      <c r="L33" s="57">
        <v>3775.46</v>
      </c>
      <c r="M33" s="58"/>
      <c r="N33" s="57">
        <v>2</v>
      </c>
      <c r="O33" s="66">
        <v>7550.92</v>
      </c>
      <c r="P33" s="67">
        <v>0.01</v>
      </c>
      <c r="Q33" s="58">
        <v>3737.71</v>
      </c>
      <c r="R33" s="66">
        <v>7475.41</v>
      </c>
      <c r="S33" s="56">
        <f t="shared" si="13"/>
        <v>0.96099290669119564</v>
      </c>
      <c r="T33" s="56">
        <f t="shared" si="12"/>
        <v>24.636362906699553</v>
      </c>
      <c r="U33" s="1">
        <f t="shared" si="4"/>
        <v>92083.579999999987</v>
      </c>
      <c r="V33" s="1">
        <f t="shared" si="5"/>
        <v>184167.16</v>
      </c>
      <c r="W33" s="56">
        <f>IFERROR((L33-X33)/L33,0)</f>
        <v>-24.380030512838168</v>
      </c>
      <c r="X33" s="3">
        <v>95821.29</v>
      </c>
      <c r="Y33" s="1">
        <f t="shared" si="7"/>
        <v>191642.58</v>
      </c>
      <c r="Z33" s="65" t="s">
        <v>111</v>
      </c>
      <c r="AA33" s="65" t="s">
        <v>115</v>
      </c>
      <c r="AB33" s="65" t="s">
        <v>194</v>
      </c>
    </row>
    <row r="34" spans="1:28" ht="28.8" x14ac:dyDescent="0.3">
      <c r="A34" t="s">
        <v>196</v>
      </c>
      <c r="B34" s="41" t="s">
        <v>63</v>
      </c>
      <c r="C34" s="29" t="s">
        <v>18</v>
      </c>
      <c r="D34" t="s">
        <v>110</v>
      </c>
      <c r="E34" t="s">
        <v>113</v>
      </c>
      <c r="F34" t="s">
        <v>33</v>
      </c>
      <c r="G34" s="32" t="s">
        <v>43</v>
      </c>
      <c r="H34" t="s">
        <v>173</v>
      </c>
      <c r="I34">
        <v>1</v>
      </c>
      <c r="J34" t="s">
        <v>53</v>
      </c>
      <c r="K34">
        <v>0</v>
      </c>
      <c r="L34" s="57">
        <v>1225.1400000000001</v>
      </c>
      <c r="M34" s="58"/>
      <c r="N34" s="57">
        <v>5</v>
      </c>
      <c r="O34" s="1">
        <v>6125.7</v>
      </c>
      <c r="P34" s="56">
        <v>0.66100000000000003</v>
      </c>
      <c r="Q34" s="58">
        <v>415.32</v>
      </c>
      <c r="R34" s="1">
        <v>2076.6</v>
      </c>
      <c r="S34" s="56">
        <f t="shared" si="13"/>
        <v>0</v>
      </c>
      <c r="T34" s="56">
        <f t="shared" si="12"/>
        <v>0</v>
      </c>
      <c r="U34" s="2">
        <v>0</v>
      </c>
      <c r="V34" s="1">
        <f t="shared" si="5"/>
        <v>0</v>
      </c>
      <c r="W34" s="56">
        <f>IFERROR((L34-X34)/L34,0)</f>
        <v>0.66100200793378727</v>
      </c>
      <c r="X34" s="61">
        <f>IFERROR(ROUND(Q34+U34,2),0)</f>
        <v>415.32</v>
      </c>
      <c r="Y34" s="1">
        <f t="shared" si="7"/>
        <v>2076.6</v>
      </c>
      <c r="Z34" t="s">
        <v>111</v>
      </c>
      <c r="AA34" t="s">
        <v>145</v>
      </c>
      <c r="AB34" t="s">
        <v>197</v>
      </c>
    </row>
    <row r="35" spans="1:28" ht="28.8" x14ac:dyDescent="0.3">
      <c r="A35" t="s">
        <v>198</v>
      </c>
      <c r="B35" s="41" t="s">
        <v>63</v>
      </c>
      <c r="C35" s="29" t="s">
        <v>18</v>
      </c>
      <c r="D35" t="s">
        <v>130</v>
      </c>
      <c r="E35" t="s">
        <v>113</v>
      </c>
      <c r="F35" t="s">
        <v>33</v>
      </c>
      <c r="G35" s="32" t="s">
        <v>43</v>
      </c>
      <c r="H35" t="s">
        <v>133</v>
      </c>
      <c r="I35">
        <v>1</v>
      </c>
      <c r="J35" t="s">
        <v>53</v>
      </c>
      <c r="K35" s="58">
        <v>1033.2</v>
      </c>
      <c r="L35" s="57">
        <v>70</v>
      </c>
      <c r="M35" s="58">
        <v>36</v>
      </c>
      <c r="N35" s="57">
        <v>72</v>
      </c>
      <c r="O35" s="1">
        <v>181440</v>
      </c>
      <c r="P35" s="56">
        <v>0.59</v>
      </c>
      <c r="Q35" s="58">
        <v>1033.2</v>
      </c>
      <c r="R35" s="1">
        <v>74390.399999999994</v>
      </c>
      <c r="S35" s="56">
        <f t="shared" si="13"/>
        <v>0.5</v>
      </c>
      <c r="T35" s="56">
        <f>IFERROR((X35-Q35)/Q35,0)</f>
        <v>1</v>
      </c>
      <c r="U35" s="2">
        <v>1033.2</v>
      </c>
      <c r="V35" s="1">
        <f>ROUND(U35*N35, 2)</f>
        <v>74390.399999999994</v>
      </c>
      <c r="W35" s="56">
        <f>IFERROR((M35*L35-X35)/(L35*M35),0)</f>
        <v>0.17999999999999997</v>
      </c>
      <c r="X35" s="61">
        <f t="shared" ref="X35:X37" si="14">IFERROR(ROUND(Q35+U35,2),0)</f>
        <v>2066.4</v>
      </c>
      <c r="Y35" s="1">
        <f>IFERROR(ROUND(X35*N35, 2), 0)</f>
        <v>148780.79999999999</v>
      </c>
      <c r="Z35" t="s">
        <v>131</v>
      </c>
      <c r="AA35" t="s">
        <v>134</v>
      </c>
      <c r="AB35" t="s">
        <v>199</v>
      </c>
    </row>
    <row r="36" spans="1:28" ht="28.8" x14ac:dyDescent="0.3">
      <c r="A36" s="65" t="s">
        <v>200</v>
      </c>
      <c r="B36" s="41" t="s">
        <v>63</v>
      </c>
      <c r="C36" s="29" t="s">
        <v>18</v>
      </c>
      <c r="D36" t="s">
        <v>130</v>
      </c>
      <c r="E36" t="s">
        <v>113</v>
      </c>
      <c r="F36" t="s">
        <v>33</v>
      </c>
      <c r="G36" s="32" t="s">
        <v>43</v>
      </c>
      <c r="H36" t="s">
        <v>138</v>
      </c>
      <c r="I36">
        <v>1</v>
      </c>
      <c r="J36" t="s">
        <v>53</v>
      </c>
      <c r="K36">
        <v>1761</v>
      </c>
      <c r="L36" s="57">
        <v>1761</v>
      </c>
      <c r="M36" s="58"/>
      <c r="N36" s="57">
        <v>72</v>
      </c>
      <c r="O36" s="1">
        <v>126792</v>
      </c>
      <c r="P36" s="56">
        <v>0.28389999999999999</v>
      </c>
      <c r="Q36" s="58">
        <v>1261.05</v>
      </c>
      <c r="R36" s="1">
        <v>90795.6</v>
      </c>
      <c r="S36" s="56">
        <f t="shared" si="13"/>
        <v>0.58271702983074403</v>
      </c>
      <c r="T36" s="56">
        <f>IFERROR((X36-Q36)/Q36,0)</f>
        <v>1.3964553348400146</v>
      </c>
      <c r="U36" s="2">
        <v>1761</v>
      </c>
      <c r="V36" s="1">
        <f>ROUND(U36*N36, 2)</f>
        <v>126792</v>
      </c>
      <c r="W36" s="56">
        <f>IFERROR((L36-X36)/L36,0)</f>
        <v>-0.71609880749574117</v>
      </c>
      <c r="X36" s="61">
        <f t="shared" si="14"/>
        <v>3022.05</v>
      </c>
      <c r="Y36" s="1">
        <f>IFERROR(ROUND(X36*N36, 2), 0)</f>
        <v>217587.6</v>
      </c>
      <c r="Z36" t="s">
        <v>131</v>
      </c>
      <c r="AA36" t="s">
        <v>61</v>
      </c>
      <c r="AB36" t="s">
        <v>201</v>
      </c>
    </row>
    <row r="37" spans="1:28" ht="28.8" x14ac:dyDescent="0.3">
      <c r="A37" t="s">
        <v>202</v>
      </c>
      <c r="B37" s="41" t="s">
        <v>63</v>
      </c>
      <c r="C37" s="29" t="s">
        <v>18</v>
      </c>
      <c r="D37" t="s">
        <v>110</v>
      </c>
      <c r="E37" t="s">
        <v>113</v>
      </c>
      <c r="F37" t="s">
        <v>33</v>
      </c>
      <c r="G37" s="32" t="s">
        <v>43</v>
      </c>
      <c r="H37" t="s">
        <v>173</v>
      </c>
      <c r="I37">
        <v>1</v>
      </c>
      <c r="J37" t="s">
        <v>53</v>
      </c>
      <c r="K37">
        <v>-1857.68</v>
      </c>
      <c r="L37" s="57">
        <v>1225.1400000000001</v>
      </c>
      <c r="M37" s="58"/>
      <c r="N37" s="57">
        <v>5</v>
      </c>
      <c r="O37" s="1">
        <v>6125.7</v>
      </c>
      <c r="P37" s="56">
        <v>0.66100000000000003</v>
      </c>
      <c r="Q37" s="58">
        <v>415.32</v>
      </c>
      <c r="R37" s="1">
        <v>2076.6</v>
      </c>
      <c r="S37" s="56">
        <f t="shared" si="13"/>
        <v>1.2879447572034721</v>
      </c>
      <c r="T37" s="56">
        <f>IFERROR((X37-Q37)/Q37,0)</f>
        <v>-4.4728883752287389</v>
      </c>
      <c r="U37" s="2">
        <v>-1857.68</v>
      </c>
      <c r="V37" s="1">
        <f>ROUND(U37*N37, 2)</f>
        <v>-9288.4</v>
      </c>
      <c r="W37" s="56">
        <f>IFERROR((L37-X37)/L37,0)</f>
        <v>2.1773021858726347</v>
      </c>
      <c r="X37" s="61">
        <f t="shared" si="14"/>
        <v>-1442.36</v>
      </c>
      <c r="Y37" s="1">
        <f>IFERROR(ROUND(X37*N37, 2), 0)</f>
        <v>-7211.8</v>
      </c>
      <c r="Z37" t="s">
        <v>111</v>
      </c>
      <c r="AA37" t="s">
        <v>145</v>
      </c>
      <c r="AB37" t="s">
        <v>203</v>
      </c>
    </row>
    <row r="38" spans="1:28" ht="28.8" x14ac:dyDescent="0.3">
      <c r="A38" t="s">
        <v>204</v>
      </c>
      <c r="B38" s="41" t="s">
        <v>63</v>
      </c>
      <c r="C38" s="29" t="s">
        <v>18</v>
      </c>
      <c r="D38" t="s">
        <v>110</v>
      </c>
      <c r="E38" t="s">
        <v>113</v>
      </c>
      <c r="F38" t="s">
        <v>33</v>
      </c>
      <c r="G38" s="32" t="s">
        <v>43</v>
      </c>
      <c r="H38" t="s">
        <v>173</v>
      </c>
      <c r="I38">
        <v>1</v>
      </c>
      <c r="J38" t="s">
        <v>55</v>
      </c>
      <c r="K38">
        <v>0</v>
      </c>
      <c r="L38" s="57">
        <v>1225.1400000000001</v>
      </c>
      <c r="M38" s="58"/>
      <c r="N38" s="57">
        <v>5</v>
      </c>
      <c r="O38" s="1">
        <v>6125.7</v>
      </c>
      <c r="P38" s="68">
        <v>0.66100000000000003</v>
      </c>
      <c r="Q38" s="1">
        <v>415.32</v>
      </c>
      <c r="R38" s="1">
        <v>2076.6</v>
      </c>
      <c r="S38" s="56">
        <f t="shared" si="13"/>
        <v>0.66100200793378727</v>
      </c>
      <c r="T38" s="56">
        <f t="shared" ref="T38:T41" si="15">IFERROR((X38-Q38)/Q38,0)</f>
        <v>1.9498699797746319</v>
      </c>
      <c r="U38" s="1">
        <f t="shared" ref="U38:U55" si="16">X38-Q38</f>
        <v>809.82000000000016</v>
      </c>
      <c r="V38" s="1">
        <f t="shared" ref="V38" si="17">ROUND(U38*N38, 2)</f>
        <v>4049.1</v>
      </c>
      <c r="W38" s="62">
        <v>0</v>
      </c>
      <c r="X38" s="1">
        <f t="shared" ref="X38:X41" si="18">IFERROR(ROUND(L38*(1-W38), 2), 0)</f>
        <v>1225.1400000000001</v>
      </c>
      <c r="Y38" s="1">
        <f t="shared" ref="Y38" si="19">IFERROR(ROUND(X38*N38, 2), 0)</f>
        <v>6125.7</v>
      </c>
      <c r="Z38" t="s">
        <v>111</v>
      </c>
      <c r="AA38" t="s">
        <v>145</v>
      </c>
      <c r="AB38" t="s">
        <v>205</v>
      </c>
    </row>
    <row r="39" spans="1:28" ht="28.8" x14ac:dyDescent="0.3">
      <c r="A39" t="s">
        <v>206</v>
      </c>
      <c r="B39" s="41" t="s">
        <v>63</v>
      </c>
      <c r="C39" s="29" t="s">
        <v>18</v>
      </c>
      <c r="D39" t="s">
        <v>130</v>
      </c>
      <c r="E39" t="s">
        <v>113</v>
      </c>
      <c r="F39" t="s">
        <v>33</v>
      </c>
      <c r="G39" s="32" t="s">
        <v>43</v>
      </c>
      <c r="H39" t="s">
        <v>133</v>
      </c>
      <c r="I39">
        <v>1</v>
      </c>
      <c r="J39" t="s">
        <v>55</v>
      </c>
      <c r="K39" s="58">
        <v>1033.2</v>
      </c>
      <c r="L39" s="57">
        <v>70</v>
      </c>
      <c r="M39" s="58">
        <v>36</v>
      </c>
      <c r="N39" s="57">
        <v>72</v>
      </c>
      <c r="O39" s="1">
        <v>181440</v>
      </c>
      <c r="P39" s="68">
        <v>0.59</v>
      </c>
      <c r="Q39" s="1">
        <v>1033.2</v>
      </c>
      <c r="R39" s="1">
        <v>74390.399999999994</v>
      </c>
      <c r="S39" s="56">
        <f t="shared" si="13"/>
        <v>0</v>
      </c>
      <c r="T39" s="56">
        <f t="shared" si="15"/>
        <v>-1</v>
      </c>
      <c r="U39" s="1">
        <f t="shared" si="16"/>
        <v>-1033.2</v>
      </c>
      <c r="V39" s="1">
        <f>ROUND(U39*N39, 2)</f>
        <v>-74390.399999999994</v>
      </c>
      <c r="W39" s="62">
        <v>1</v>
      </c>
      <c r="X39" s="1">
        <f>IFERROR(ROUND(M39*L39*(1-W39), 2), 0)</f>
        <v>0</v>
      </c>
      <c r="Y39" s="1">
        <f>IFERROR(ROUND(X39*N39, 2), 0)</f>
        <v>0</v>
      </c>
      <c r="Z39" t="s">
        <v>131</v>
      </c>
      <c r="AA39" t="s">
        <v>134</v>
      </c>
      <c r="AB39" t="s">
        <v>207</v>
      </c>
    </row>
    <row r="40" spans="1:28" ht="28.8" x14ac:dyDescent="0.3">
      <c r="A40" t="s">
        <v>208</v>
      </c>
      <c r="B40" s="41" t="s">
        <v>63</v>
      </c>
      <c r="C40" s="29" t="s">
        <v>18</v>
      </c>
      <c r="D40" t="s">
        <v>130</v>
      </c>
      <c r="E40" t="s">
        <v>113</v>
      </c>
      <c r="F40" t="s">
        <v>33</v>
      </c>
      <c r="G40" s="32" t="s">
        <v>43</v>
      </c>
      <c r="H40" t="s">
        <v>138</v>
      </c>
      <c r="I40">
        <v>1</v>
      </c>
      <c r="J40" t="s">
        <v>55</v>
      </c>
      <c r="K40">
        <v>1761</v>
      </c>
      <c r="L40" s="57">
        <v>1761</v>
      </c>
      <c r="M40" s="58"/>
      <c r="N40" s="57">
        <v>72</v>
      </c>
      <c r="O40" s="1">
        <v>126792</v>
      </c>
      <c r="P40" s="68">
        <v>0.28389999999999999</v>
      </c>
      <c r="Q40" s="1">
        <v>1261.05</v>
      </c>
      <c r="R40" s="1">
        <v>90795.6</v>
      </c>
      <c r="S40" s="56">
        <f t="shared" si="13"/>
        <v>0.54356583647926227</v>
      </c>
      <c r="T40" s="56">
        <f t="shared" si="15"/>
        <v>1.1908964751595892</v>
      </c>
      <c r="U40" s="1">
        <f t="shared" si="16"/>
        <v>1501.78</v>
      </c>
      <c r="V40" s="1">
        <f>ROUND(U40*N40, 2)</f>
        <v>108128.16</v>
      </c>
      <c r="W40" s="62">
        <v>-0.56889999999999996</v>
      </c>
      <c r="X40" s="1">
        <f t="shared" si="18"/>
        <v>2762.83</v>
      </c>
      <c r="Y40" s="1">
        <f>IFERROR(ROUND(X40*N40, 2), 0)</f>
        <v>198923.76</v>
      </c>
      <c r="Z40" t="s">
        <v>131</v>
      </c>
      <c r="AA40" t="s">
        <v>61</v>
      </c>
      <c r="AB40" t="s">
        <v>209</v>
      </c>
    </row>
    <row r="41" spans="1:28" ht="28.8" x14ac:dyDescent="0.3">
      <c r="A41" t="s">
        <v>210</v>
      </c>
      <c r="B41" s="41" t="s">
        <v>63</v>
      </c>
      <c r="C41" s="29" t="s">
        <v>18</v>
      </c>
      <c r="D41" t="s">
        <v>110</v>
      </c>
      <c r="E41" t="s">
        <v>113</v>
      </c>
      <c r="F41" t="s">
        <v>33</v>
      </c>
      <c r="G41" s="32" t="s">
        <v>43</v>
      </c>
      <c r="H41" t="s">
        <v>173</v>
      </c>
      <c r="I41">
        <v>1</v>
      </c>
      <c r="J41" t="s">
        <v>55</v>
      </c>
      <c r="K41">
        <v>200</v>
      </c>
      <c r="L41" s="57">
        <v>1225.1400000000001</v>
      </c>
      <c r="M41" s="58"/>
      <c r="N41" s="57">
        <v>5</v>
      </c>
      <c r="O41" s="1">
        <v>6125.7</v>
      </c>
      <c r="P41" s="68">
        <v>0.66100000000000003</v>
      </c>
      <c r="Q41" s="1">
        <v>415.32</v>
      </c>
      <c r="R41" s="1">
        <v>2076.6</v>
      </c>
      <c r="S41" s="56">
        <f t="shared" si="13"/>
        <v>1.3389979920662127</v>
      </c>
      <c r="T41" s="56">
        <f t="shared" si="15"/>
        <v>-3.9498699797746317</v>
      </c>
      <c r="U41" s="1">
        <f t="shared" si="16"/>
        <v>-1640.46</v>
      </c>
      <c r="V41" s="1">
        <f>ROUND(U41*N41, 2)</f>
        <v>-8202.2999999999993</v>
      </c>
      <c r="W41" s="62">
        <v>2</v>
      </c>
      <c r="X41" s="1">
        <f t="shared" si="18"/>
        <v>-1225.1400000000001</v>
      </c>
      <c r="Y41" s="1">
        <f>IFERROR(ROUND(X41*N41, 2), 0)</f>
        <v>-6125.7</v>
      </c>
      <c r="Z41" t="s">
        <v>111</v>
      </c>
      <c r="AA41" t="s">
        <v>145</v>
      </c>
      <c r="AB41" t="s">
        <v>211</v>
      </c>
    </row>
    <row r="42" spans="1:28" ht="28.8" x14ac:dyDescent="0.3">
      <c r="A42" t="s">
        <v>212</v>
      </c>
      <c r="B42" s="41" t="s">
        <v>63</v>
      </c>
      <c r="C42" s="29" t="s">
        <v>18</v>
      </c>
      <c r="D42" t="s">
        <v>110</v>
      </c>
      <c r="E42" t="s">
        <v>113</v>
      </c>
      <c r="F42" t="s">
        <v>33</v>
      </c>
      <c r="G42" s="32" t="s">
        <v>43</v>
      </c>
      <c r="H42" t="s">
        <v>173</v>
      </c>
      <c r="I42">
        <v>1</v>
      </c>
      <c r="J42" t="s">
        <v>52</v>
      </c>
      <c r="K42">
        <v>0</v>
      </c>
      <c r="L42" s="57">
        <v>1225.1400000000001</v>
      </c>
      <c r="M42" s="58"/>
      <c r="N42" s="57">
        <v>5</v>
      </c>
      <c r="O42" s="1">
        <v>6125.7</v>
      </c>
      <c r="P42" s="68">
        <v>0.66100000000000003</v>
      </c>
      <c r="Q42" s="1">
        <v>415.32</v>
      </c>
      <c r="R42" s="1">
        <v>2076.6</v>
      </c>
      <c r="S42" s="56">
        <f t="shared" si="13"/>
        <v>0</v>
      </c>
      <c r="T42" s="64">
        <v>0</v>
      </c>
      <c r="U42" s="1">
        <f t="shared" si="16"/>
        <v>0</v>
      </c>
      <c r="V42" s="1">
        <f t="shared" ref="V42:V68" si="20">ROUND(U42*N42, 2)</f>
        <v>0</v>
      </c>
      <c r="W42" s="56">
        <f t="shared" ref="W42:W50" si="21">IFERROR((L42-X42)/L42,0)</f>
        <v>0.66100200793378727</v>
      </c>
      <c r="X42" s="1">
        <f>IFERROR(ROUND(Q42*(1+T42), 2), 0)</f>
        <v>415.32</v>
      </c>
      <c r="Y42" s="1">
        <f t="shared" ref="Y42:Y50" si="22">IFERROR(ROUND(X42*N42, 2), 0)</f>
        <v>2076.6</v>
      </c>
      <c r="Z42" t="s">
        <v>111</v>
      </c>
      <c r="AA42" t="s">
        <v>145</v>
      </c>
      <c r="AB42" t="s">
        <v>213</v>
      </c>
    </row>
    <row r="43" spans="1:28" ht="28.8" x14ac:dyDescent="0.3">
      <c r="A43" t="s">
        <v>214</v>
      </c>
      <c r="B43" s="41" t="s">
        <v>63</v>
      </c>
      <c r="C43" s="29" t="s">
        <v>18</v>
      </c>
      <c r="D43" t="s">
        <v>130</v>
      </c>
      <c r="E43" t="s">
        <v>113</v>
      </c>
      <c r="F43" t="s">
        <v>33</v>
      </c>
      <c r="G43" s="32" t="s">
        <v>43</v>
      </c>
      <c r="H43" t="s">
        <v>133</v>
      </c>
      <c r="I43">
        <v>1</v>
      </c>
      <c r="J43" t="s">
        <v>52</v>
      </c>
      <c r="K43" s="58">
        <v>100</v>
      </c>
      <c r="L43" s="57">
        <v>70</v>
      </c>
      <c r="M43" s="58">
        <v>36</v>
      </c>
      <c r="N43" s="57">
        <v>72</v>
      </c>
      <c r="O43" s="1">
        <v>181440</v>
      </c>
      <c r="P43" s="68">
        <v>0.59</v>
      </c>
      <c r="Q43" s="1">
        <v>1033.2</v>
      </c>
      <c r="R43" s="1">
        <v>74390.399999999994</v>
      </c>
      <c r="S43" s="56">
        <f t="shared" si="13"/>
        <v>0.5</v>
      </c>
      <c r="T43" s="64">
        <v>1</v>
      </c>
      <c r="U43" s="1">
        <f t="shared" si="16"/>
        <v>1033.2</v>
      </c>
      <c r="V43" s="1">
        <f t="shared" si="20"/>
        <v>74390.399999999994</v>
      </c>
      <c r="W43" s="56">
        <f>IFERROR((M43*L43-X43)/(L43*M43),0)</f>
        <v>0.17999999999999997</v>
      </c>
      <c r="X43" s="1">
        <f t="shared" ref="X43:X46" si="23">IFERROR(ROUND(Q43*(1+T43), 2), 0)</f>
        <v>2066.4</v>
      </c>
      <c r="Y43" s="1">
        <f t="shared" si="22"/>
        <v>148780.79999999999</v>
      </c>
      <c r="Z43" t="s">
        <v>131</v>
      </c>
      <c r="AA43" t="s">
        <v>134</v>
      </c>
      <c r="AB43" t="s">
        <v>215</v>
      </c>
    </row>
    <row r="44" spans="1:28" ht="28.8" x14ac:dyDescent="0.3">
      <c r="A44" t="s">
        <v>216</v>
      </c>
      <c r="B44" s="41" t="s">
        <v>63</v>
      </c>
      <c r="C44" s="29" t="s">
        <v>18</v>
      </c>
      <c r="D44" t="s">
        <v>130</v>
      </c>
      <c r="E44" t="s">
        <v>113</v>
      </c>
      <c r="F44" t="s">
        <v>33</v>
      </c>
      <c r="G44" s="32" t="s">
        <v>43</v>
      </c>
      <c r="H44" t="s">
        <v>138</v>
      </c>
      <c r="I44">
        <v>1</v>
      </c>
      <c r="J44" t="s">
        <v>52</v>
      </c>
      <c r="K44" s="59">
        <v>-0.74825900000000001</v>
      </c>
      <c r="L44" s="57">
        <v>1761</v>
      </c>
      <c r="M44" s="58"/>
      <c r="N44" s="57">
        <v>72</v>
      </c>
      <c r="O44" s="1">
        <v>126792</v>
      </c>
      <c r="P44" s="68">
        <v>0.28389999999999999</v>
      </c>
      <c r="Q44" s="1">
        <v>1261.05</v>
      </c>
      <c r="R44" s="1">
        <v>90795.6</v>
      </c>
      <c r="S44" s="56">
        <f t="shared" si="13"/>
        <v>-2.9723114723114721</v>
      </c>
      <c r="T44" s="64">
        <v>-0.74825900000000001</v>
      </c>
      <c r="U44" s="1">
        <f t="shared" si="16"/>
        <v>-943.58999999999992</v>
      </c>
      <c r="V44" s="1">
        <f t="shared" si="20"/>
        <v>-67938.48</v>
      </c>
      <c r="W44" s="56">
        <f t="shared" si="21"/>
        <v>0.81972742759795569</v>
      </c>
      <c r="X44" s="1">
        <f t="shared" si="23"/>
        <v>317.45999999999998</v>
      </c>
      <c r="Y44" s="1">
        <f t="shared" si="22"/>
        <v>22857.119999999999</v>
      </c>
      <c r="Z44" t="s">
        <v>131</v>
      </c>
      <c r="AA44" t="s">
        <v>61</v>
      </c>
      <c r="AB44" t="s">
        <v>217</v>
      </c>
    </row>
    <row r="45" spans="1:28" ht="28.8" x14ac:dyDescent="0.3">
      <c r="A45" t="s">
        <v>218</v>
      </c>
      <c r="B45" s="41" t="s">
        <v>63</v>
      </c>
      <c r="C45" s="29" t="s">
        <v>18</v>
      </c>
      <c r="D45" t="s">
        <v>110</v>
      </c>
      <c r="E45" t="s">
        <v>113</v>
      </c>
      <c r="F45" t="s">
        <v>33</v>
      </c>
      <c r="G45" s="32" t="s">
        <v>43</v>
      </c>
      <c r="H45" t="s">
        <v>173</v>
      </c>
      <c r="I45">
        <v>1</v>
      </c>
      <c r="J45" t="s">
        <v>52</v>
      </c>
      <c r="K45">
        <v>200</v>
      </c>
      <c r="L45" s="57">
        <v>1225.1400000000001</v>
      </c>
      <c r="M45" s="58"/>
      <c r="N45" s="57">
        <v>5</v>
      </c>
      <c r="O45" s="1">
        <v>6125.7</v>
      </c>
      <c r="P45" s="68">
        <v>0.66100000000000003</v>
      </c>
      <c r="Q45" s="1">
        <v>415.32</v>
      </c>
      <c r="R45" s="1">
        <v>2076.6</v>
      </c>
      <c r="S45" s="56">
        <f t="shared" si="13"/>
        <v>0.66666666666666674</v>
      </c>
      <c r="T45" s="64">
        <v>2</v>
      </c>
      <c r="U45" s="1">
        <f t="shared" si="16"/>
        <v>830.6400000000001</v>
      </c>
      <c r="V45" s="1">
        <f t="shared" si="20"/>
        <v>4153.2</v>
      </c>
      <c r="W45" s="56">
        <f t="shared" si="21"/>
        <v>-1.6993976198638471E-2</v>
      </c>
      <c r="X45" s="1">
        <f t="shared" si="23"/>
        <v>1245.96</v>
      </c>
      <c r="Y45" s="1">
        <f t="shared" si="22"/>
        <v>6229.8</v>
      </c>
      <c r="Z45" t="s">
        <v>111</v>
      </c>
      <c r="AA45" t="s">
        <v>145</v>
      </c>
      <c r="AB45" t="s">
        <v>219</v>
      </c>
    </row>
    <row r="46" spans="1:28" ht="28.8" x14ac:dyDescent="0.3">
      <c r="A46" s="65" t="s">
        <v>220</v>
      </c>
      <c r="B46" s="41" t="s">
        <v>63</v>
      </c>
      <c r="C46" s="29" t="s">
        <v>18</v>
      </c>
      <c r="D46" s="65" t="s">
        <v>110</v>
      </c>
      <c r="E46" s="65" t="s">
        <v>113</v>
      </c>
      <c r="F46" s="65" t="s">
        <v>33</v>
      </c>
      <c r="G46" s="32" t="s">
        <v>43</v>
      </c>
      <c r="H46" s="65" t="s">
        <v>185</v>
      </c>
      <c r="I46" s="65">
        <v>1</v>
      </c>
      <c r="J46" t="s">
        <v>52</v>
      </c>
      <c r="K46" s="65">
        <v>44.86</v>
      </c>
      <c r="L46" s="57">
        <v>0</v>
      </c>
      <c r="M46" s="58"/>
      <c r="N46" s="57">
        <v>2</v>
      </c>
      <c r="O46" s="66">
        <v>0</v>
      </c>
      <c r="P46" s="67">
        <v>0</v>
      </c>
      <c r="Q46" s="58">
        <v>0</v>
      </c>
      <c r="R46" s="66">
        <v>0</v>
      </c>
      <c r="S46" s="56">
        <f t="shared" si="13"/>
        <v>0</v>
      </c>
      <c r="T46" s="64">
        <v>0.4486</v>
      </c>
      <c r="U46" s="1">
        <f t="shared" si="16"/>
        <v>0</v>
      </c>
      <c r="V46" s="1">
        <f t="shared" si="20"/>
        <v>0</v>
      </c>
      <c r="W46" s="56">
        <f t="shared" si="21"/>
        <v>0</v>
      </c>
      <c r="X46" s="1">
        <f t="shared" si="23"/>
        <v>0</v>
      </c>
      <c r="Y46" s="1">
        <f t="shared" si="22"/>
        <v>0</v>
      </c>
      <c r="Z46" s="65" t="s">
        <v>111</v>
      </c>
      <c r="AA46" s="65" t="s">
        <v>115</v>
      </c>
      <c r="AB46" s="65" t="s">
        <v>221</v>
      </c>
    </row>
    <row r="47" spans="1:28" ht="28.8" x14ac:dyDescent="0.3">
      <c r="A47" s="65" t="s">
        <v>222</v>
      </c>
      <c r="B47" s="41" t="s">
        <v>63</v>
      </c>
      <c r="C47" s="29" t="s">
        <v>18</v>
      </c>
      <c r="D47" s="65" t="s">
        <v>110</v>
      </c>
      <c r="E47" s="65" t="s">
        <v>224</v>
      </c>
      <c r="F47" s="65" t="s">
        <v>33</v>
      </c>
      <c r="G47" s="32" t="s">
        <v>43</v>
      </c>
      <c r="H47" s="65" t="s">
        <v>114</v>
      </c>
      <c r="I47">
        <v>1</v>
      </c>
      <c r="J47" s="65" t="s">
        <v>49</v>
      </c>
      <c r="K47">
        <v>10959.84</v>
      </c>
      <c r="L47" s="1">
        <v>12213.63</v>
      </c>
      <c r="M47" s="1"/>
      <c r="N47" s="1">
        <v>2</v>
      </c>
      <c r="O47" s="1">
        <v>24427.26</v>
      </c>
      <c r="P47" s="56">
        <f t="shared" ref="P47:P59" si="24">IFERROR((L47-Q47)/L47,0)</f>
        <v>0.10265498463601723</v>
      </c>
      <c r="Q47" s="2">
        <v>10959.84</v>
      </c>
      <c r="R47" s="1">
        <f t="shared" ref="R47:R82" si="25">IFERROR(ROUND(Q47*N47, 2), 0)</f>
        <v>21919.68</v>
      </c>
      <c r="S47" s="60">
        <v>1.0000302940239699E-2</v>
      </c>
      <c r="T47" s="60">
        <v>1.0101319192258301E-2</v>
      </c>
      <c r="U47" s="1">
        <f t="shared" si="16"/>
        <v>110.70999999999913</v>
      </c>
      <c r="V47" s="1">
        <f t="shared" si="20"/>
        <v>221.42</v>
      </c>
      <c r="W47" s="56">
        <f t="shared" si="21"/>
        <v>9.3590521409277996E-2</v>
      </c>
      <c r="X47" s="61">
        <f t="shared" ref="X47:X50" si="26">IFERROR(ROUND(Q47/(1-S47),2),0)</f>
        <v>11070.55</v>
      </c>
      <c r="Y47" s="1">
        <f t="shared" si="22"/>
        <v>22141.1</v>
      </c>
      <c r="Z47" s="65" t="s">
        <v>111</v>
      </c>
      <c r="AA47" s="65" t="s">
        <v>115</v>
      </c>
      <c r="AB47" s="65" t="s">
        <v>223</v>
      </c>
    </row>
    <row r="48" spans="1:28" ht="28.8" x14ac:dyDescent="0.3">
      <c r="A48" s="65"/>
      <c r="B48" s="41" t="s">
        <v>63</v>
      </c>
      <c r="C48" s="29" t="s">
        <v>18</v>
      </c>
      <c r="D48" s="65" t="s">
        <v>110</v>
      </c>
      <c r="E48" s="65" t="s">
        <v>224</v>
      </c>
      <c r="F48" s="65" t="s">
        <v>33</v>
      </c>
      <c r="G48" s="32" t="s">
        <v>43</v>
      </c>
      <c r="H48" s="65" t="s">
        <v>114</v>
      </c>
      <c r="I48">
        <v>1</v>
      </c>
      <c r="J48" s="65" t="s">
        <v>49</v>
      </c>
      <c r="K48">
        <v>0</v>
      </c>
      <c r="L48" s="1">
        <v>12213.63</v>
      </c>
      <c r="M48" s="1"/>
      <c r="N48" s="1">
        <v>2</v>
      </c>
      <c r="O48" s="1">
        <v>24427.26</v>
      </c>
      <c r="P48" s="56">
        <f t="shared" si="24"/>
        <v>1</v>
      </c>
      <c r="Q48" s="3">
        <v>0</v>
      </c>
      <c r="R48" s="1">
        <f t="shared" si="25"/>
        <v>0</v>
      </c>
      <c r="S48" s="60">
        <v>1.0000302940239699E-2</v>
      </c>
      <c r="T48" s="60">
        <v>1.0101319192258301E-2</v>
      </c>
      <c r="U48" s="1">
        <f t="shared" si="16"/>
        <v>0</v>
      </c>
      <c r="V48" s="1">
        <f t="shared" si="20"/>
        <v>0</v>
      </c>
      <c r="W48" s="56">
        <f t="shared" si="21"/>
        <v>1</v>
      </c>
      <c r="X48" s="61">
        <f t="shared" si="26"/>
        <v>0</v>
      </c>
      <c r="Y48" s="1">
        <f t="shared" si="22"/>
        <v>0</v>
      </c>
      <c r="Z48" s="65" t="s">
        <v>111</v>
      </c>
      <c r="AA48" s="65" t="s">
        <v>115</v>
      </c>
      <c r="AB48" s="65" t="s">
        <v>225</v>
      </c>
    </row>
    <row r="49" spans="1:28" ht="28.8" x14ac:dyDescent="0.3">
      <c r="A49" s="65"/>
      <c r="B49" s="41" t="s">
        <v>63</v>
      </c>
      <c r="C49" s="29" t="s">
        <v>18</v>
      </c>
      <c r="D49" s="65" t="s">
        <v>110</v>
      </c>
      <c r="E49" s="65" t="s">
        <v>224</v>
      </c>
      <c r="F49" s="65" t="s">
        <v>33</v>
      </c>
      <c r="G49" s="32" t="s">
        <v>43</v>
      </c>
      <c r="H49" s="65" t="s">
        <v>114</v>
      </c>
      <c r="I49">
        <v>1</v>
      </c>
      <c r="J49" s="65" t="s">
        <v>49</v>
      </c>
      <c r="K49">
        <v>-10959.84</v>
      </c>
      <c r="L49" s="1">
        <v>12213.63</v>
      </c>
      <c r="M49" s="1"/>
      <c r="N49" s="1">
        <v>2</v>
      </c>
      <c r="O49" s="1">
        <v>24427.26</v>
      </c>
      <c r="P49" s="56">
        <f t="shared" si="24"/>
        <v>1.8973450153639828</v>
      </c>
      <c r="Q49" s="3">
        <v>-10959.84</v>
      </c>
      <c r="R49" s="1">
        <f t="shared" si="25"/>
        <v>-21919.68</v>
      </c>
      <c r="S49" s="60">
        <v>1.0000302940239699E-2</v>
      </c>
      <c r="T49" s="60">
        <v>1.0101319192258301E-2</v>
      </c>
      <c r="U49" s="1">
        <f t="shared" si="16"/>
        <v>-110.70999999999913</v>
      </c>
      <c r="V49" s="1">
        <f t="shared" si="20"/>
        <v>-221.42</v>
      </c>
      <c r="W49" s="56">
        <f t="shared" si="21"/>
        <v>1.9064094785907222</v>
      </c>
      <c r="X49" s="61">
        <f t="shared" si="26"/>
        <v>-11070.55</v>
      </c>
      <c r="Y49" s="1">
        <f t="shared" si="22"/>
        <v>-22141.1</v>
      </c>
      <c r="Z49" s="65" t="s">
        <v>111</v>
      </c>
      <c r="AA49" s="65" t="s">
        <v>115</v>
      </c>
      <c r="AB49" s="65" t="s">
        <v>226</v>
      </c>
    </row>
    <row r="50" spans="1:28" ht="28.8" x14ac:dyDescent="0.3">
      <c r="A50" s="65"/>
      <c r="B50" s="41" t="s">
        <v>63</v>
      </c>
      <c r="C50" s="29" t="s">
        <v>18</v>
      </c>
      <c r="D50" s="65" t="s">
        <v>110</v>
      </c>
      <c r="E50" s="65" t="s">
        <v>224</v>
      </c>
      <c r="F50" s="65" t="s">
        <v>33</v>
      </c>
      <c r="G50" s="32" t="s">
        <v>43</v>
      </c>
      <c r="H50" s="65" t="s">
        <v>114</v>
      </c>
      <c r="I50">
        <v>1</v>
      </c>
      <c r="J50" s="65" t="s">
        <v>49</v>
      </c>
      <c r="K50">
        <v>24427.26</v>
      </c>
      <c r="L50" s="1">
        <v>12213.63</v>
      </c>
      <c r="M50" s="1"/>
      <c r="N50" s="1">
        <v>2</v>
      </c>
      <c r="O50" s="1">
        <v>24427.26</v>
      </c>
      <c r="P50" s="56">
        <f t="shared" si="24"/>
        <v>-1</v>
      </c>
      <c r="Q50" s="3">
        <v>24427.26</v>
      </c>
      <c r="R50" s="1">
        <f t="shared" si="25"/>
        <v>48854.52</v>
      </c>
      <c r="S50" s="60">
        <v>1.0000302940239699E-2</v>
      </c>
      <c r="T50" s="60">
        <v>1.0101319192258301E-2</v>
      </c>
      <c r="U50" s="1">
        <f t="shared" si="16"/>
        <v>246.75</v>
      </c>
      <c r="V50" s="1">
        <f t="shared" si="20"/>
        <v>493.5</v>
      </c>
      <c r="W50" s="56">
        <f t="shared" si="21"/>
        <v>-1.0202028389594249</v>
      </c>
      <c r="X50" s="61">
        <f t="shared" si="26"/>
        <v>24674.01</v>
      </c>
      <c r="Y50" s="1">
        <f t="shared" si="22"/>
        <v>49348.02</v>
      </c>
      <c r="Z50" s="65" t="s">
        <v>111</v>
      </c>
      <c r="AA50" s="65" t="s">
        <v>115</v>
      </c>
      <c r="AB50" s="65" t="s">
        <v>227</v>
      </c>
    </row>
    <row r="51" spans="1:28" ht="28.8" x14ac:dyDescent="0.3">
      <c r="A51" s="65" t="s">
        <v>228</v>
      </c>
      <c r="B51" s="41" t="s">
        <v>63</v>
      </c>
      <c r="C51" s="29" t="s">
        <v>18</v>
      </c>
      <c r="D51" s="65" t="s">
        <v>110</v>
      </c>
      <c r="E51" s="65" t="s">
        <v>224</v>
      </c>
      <c r="F51" s="65" t="s">
        <v>33</v>
      </c>
      <c r="G51" s="32" t="s">
        <v>43</v>
      </c>
      <c r="H51" s="65" t="s">
        <v>114</v>
      </c>
      <c r="I51">
        <v>1</v>
      </c>
      <c r="J51" s="65" t="s">
        <v>52</v>
      </c>
      <c r="K51">
        <v>5.7364889999999997</v>
      </c>
      <c r="L51" s="1">
        <v>12213.63</v>
      </c>
      <c r="M51" s="1"/>
      <c r="N51" s="1">
        <v>2</v>
      </c>
      <c r="O51" s="1">
        <v>24427.26</v>
      </c>
      <c r="P51" s="56">
        <f t="shared" si="24"/>
        <v>5.425250314607525E-2</v>
      </c>
      <c r="Q51" s="1">
        <f>IFERROR(ROUND(X51/(1+T51), 2), 0)</f>
        <v>11551.01</v>
      </c>
      <c r="R51" s="1">
        <f t="shared" si="25"/>
        <v>23102.02</v>
      </c>
      <c r="S51" s="56">
        <f t="shared" ref="S51:S68" si="27">IFERROR((X51-Q51)/X51,0)</f>
        <v>5.425250314607525E-2</v>
      </c>
      <c r="T51" s="64">
        <v>5.7364890000000002E-2</v>
      </c>
      <c r="U51" s="1">
        <f t="shared" si="16"/>
        <v>662.61999999999898</v>
      </c>
      <c r="V51" s="1">
        <f t="shared" si="20"/>
        <v>1325.24</v>
      </c>
      <c r="W51" s="55">
        <v>0</v>
      </c>
      <c r="X51" s="1">
        <v>12213.63</v>
      </c>
      <c r="Y51" s="1">
        <v>24427.26</v>
      </c>
      <c r="Z51" s="65" t="s">
        <v>111</v>
      </c>
      <c r="AA51" s="65" t="s">
        <v>115</v>
      </c>
      <c r="AB51" s="65" t="s">
        <v>229</v>
      </c>
    </row>
    <row r="52" spans="1:28" ht="28.8" x14ac:dyDescent="0.3">
      <c r="A52" s="65"/>
      <c r="B52" s="41" t="s">
        <v>63</v>
      </c>
      <c r="C52" s="29" t="s">
        <v>18</v>
      </c>
      <c r="D52" s="65" t="s">
        <v>110</v>
      </c>
      <c r="E52" s="65" t="s">
        <v>224</v>
      </c>
      <c r="F52" s="65" t="s">
        <v>33</v>
      </c>
      <c r="G52" s="32" t="s">
        <v>43</v>
      </c>
      <c r="H52" s="65" t="s">
        <v>114</v>
      </c>
      <c r="I52">
        <v>1</v>
      </c>
      <c r="J52" s="65" t="s">
        <v>52</v>
      </c>
      <c r="K52">
        <v>0</v>
      </c>
      <c r="L52" s="1">
        <v>12213.63</v>
      </c>
      <c r="M52" s="1"/>
      <c r="N52" s="1">
        <v>2</v>
      </c>
      <c r="O52" s="1">
        <v>24427.26</v>
      </c>
      <c r="P52" s="56">
        <f t="shared" si="24"/>
        <v>0</v>
      </c>
      <c r="Q52" s="1">
        <f>IFERROR(ROUND(X52/(1+T52), 2), 0)</f>
        <v>12213.63</v>
      </c>
      <c r="R52" s="1">
        <f t="shared" si="25"/>
        <v>24427.26</v>
      </c>
      <c r="S52" s="56">
        <f t="shared" si="27"/>
        <v>0</v>
      </c>
      <c r="T52" s="64">
        <v>0</v>
      </c>
      <c r="U52" s="1">
        <f t="shared" si="16"/>
        <v>0</v>
      </c>
      <c r="V52" s="1">
        <f t="shared" si="20"/>
        <v>0</v>
      </c>
      <c r="W52" s="55">
        <v>0</v>
      </c>
      <c r="X52" s="1">
        <v>12213.63</v>
      </c>
      <c r="Y52" s="1">
        <v>24427.26</v>
      </c>
      <c r="Z52" s="65" t="s">
        <v>111</v>
      </c>
      <c r="AA52" s="65" t="s">
        <v>115</v>
      </c>
      <c r="AB52" s="65" t="s">
        <v>230</v>
      </c>
    </row>
    <row r="53" spans="1:28" ht="28.8" x14ac:dyDescent="0.3">
      <c r="A53" s="65"/>
      <c r="B53" s="41" t="s">
        <v>63</v>
      </c>
      <c r="C53" s="29" t="s">
        <v>18</v>
      </c>
      <c r="D53" s="65" t="s">
        <v>110</v>
      </c>
      <c r="E53" s="65" t="s">
        <v>224</v>
      </c>
      <c r="F53" s="65" t="s">
        <v>33</v>
      </c>
      <c r="G53" s="32" t="s">
        <v>43</v>
      </c>
      <c r="H53" s="65" t="s">
        <v>114</v>
      </c>
      <c r="I53">
        <v>1</v>
      </c>
      <c r="J53" s="65" t="s">
        <v>52</v>
      </c>
      <c r="K53">
        <v>-5.7364889999999997</v>
      </c>
      <c r="L53" s="1">
        <v>12213.63</v>
      </c>
      <c r="M53" s="1"/>
      <c r="N53" s="1">
        <v>2</v>
      </c>
      <c r="O53" s="1">
        <v>24427.26</v>
      </c>
      <c r="P53" s="56">
        <f t="shared" si="24"/>
        <v>-6.0855781614475017E-2</v>
      </c>
      <c r="Q53" s="1">
        <f>IFERROR(ROUND(X53/(1+T53), 2), 0)</f>
        <v>12956.9</v>
      </c>
      <c r="R53" s="1">
        <f t="shared" si="25"/>
        <v>25913.8</v>
      </c>
      <c r="S53" s="56">
        <f t="shared" si="27"/>
        <v>-6.0855781614475017E-2</v>
      </c>
      <c r="T53" s="64">
        <v>-5.7364890000000002E-2</v>
      </c>
      <c r="U53" s="1">
        <f t="shared" si="16"/>
        <v>-743.27000000000044</v>
      </c>
      <c r="V53" s="1">
        <f t="shared" si="20"/>
        <v>-1486.54</v>
      </c>
      <c r="W53" s="55">
        <v>0</v>
      </c>
      <c r="X53" s="1">
        <v>12213.63</v>
      </c>
      <c r="Y53" s="1">
        <v>24427.26</v>
      </c>
      <c r="Z53" s="65" t="s">
        <v>111</v>
      </c>
      <c r="AA53" s="65" t="s">
        <v>115</v>
      </c>
      <c r="AB53" s="65" t="s">
        <v>231</v>
      </c>
    </row>
    <row r="54" spans="1:28" ht="28.8" x14ac:dyDescent="0.3">
      <c r="A54" s="65"/>
      <c r="B54" s="41" t="s">
        <v>63</v>
      </c>
      <c r="C54" s="29" t="s">
        <v>18</v>
      </c>
      <c r="D54" s="65" t="s">
        <v>110</v>
      </c>
      <c r="E54" s="65" t="s">
        <v>224</v>
      </c>
      <c r="F54" s="65" t="s">
        <v>33</v>
      </c>
      <c r="G54" s="32" t="s">
        <v>43</v>
      </c>
      <c r="H54" s="65" t="s">
        <v>114</v>
      </c>
      <c r="I54">
        <v>1</v>
      </c>
      <c r="J54" s="65" t="s">
        <v>52</v>
      </c>
      <c r="K54">
        <v>200</v>
      </c>
      <c r="L54" s="1">
        <v>12213.63</v>
      </c>
      <c r="M54" s="1"/>
      <c r="N54" s="1">
        <v>2</v>
      </c>
      <c r="O54" s="1">
        <v>24427.26</v>
      </c>
      <c r="P54" s="56">
        <f t="shared" si="24"/>
        <v>0.66666666666666663</v>
      </c>
      <c r="Q54" s="1">
        <f>IFERROR(ROUND(X54/(1+T54), 2), 0)</f>
        <v>4071.21</v>
      </c>
      <c r="R54" s="1">
        <f t="shared" si="25"/>
        <v>8142.42</v>
      </c>
      <c r="S54" s="56">
        <f t="shared" si="27"/>
        <v>0.66666666666666663</v>
      </c>
      <c r="T54" s="64">
        <v>2</v>
      </c>
      <c r="U54" s="1">
        <f t="shared" si="16"/>
        <v>8142.4199999999992</v>
      </c>
      <c r="V54" s="1">
        <f t="shared" si="20"/>
        <v>16284.84</v>
      </c>
      <c r="W54" s="55">
        <v>0</v>
      </c>
      <c r="X54" s="1">
        <v>12213.63</v>
      </c>
      <c r="Y54" s="1">
        <v>24427.26</v>
      </c>
      <c r="Z54" s="65" t="s">
        <v>111</v>
      </c>
      <c r="AA54" s="65" t="s">
        <v>115</v>
      </c>
      <c r="AB54" s="65" t="s">
        <v>232</v>
      </c>
    </row>
    <row r="55" spans="1:28" ht="28.8" x14ac:dyDescent="0.3">
      <c r="A55" s="65"/>
      <c r="B55" s="41" t="s">
        <v>63</v>
      </c>
      <c r="C55" s="29" t="s">
        <v>18</v>
      </c>
      <c r="D55" s="65" t="s">
        <v>110</v>
      </c>
      <c r="E55" s="65" t="s">
        <v>224</v>
      </c>
      <c r="F55" s="65" t="s">
        <v>33</v>
      </c>
      <c r="G55" s="32" t="s">
        <v>43</v>
      </c>
      <c r="H55" s="65" t="s">
        <v>114</v>
      </c>
      <c r="I55">
        <v>1</v>
      </c>
      <c r="J55" s="65" t="s">
        <v>52</v>
      </c>
      <c r="K55">
        <v>100</v>
      </c>
      <c r="L55" s="1">
        <v>12213.63</v>
      </c>
      <c r="M55" s="1"/>
      <c r="N55" s="1">
        <v>2</v>
      </c>
      <c r="O55" s="1">
        <v>24427.26</v>
      </c>
      <c r="P55" s="56">
        <f t="shared" si="24"/>
        <v>0.49999959062129767</v>
      </c>
      <c r="Q55" s="1">
        <f>IFERROR(ROUND(X55/(1+T55), 2), 0)</f>
        <v>6106.82</v>
      </c>
      <c r="R55" s="1">
        <f t="shared" si="25"/>
        <v>12213.64</v>
      </c>
      <c r="S55" s="56">
        <f t="shared" si="27"/>
        <v>0.49999959062129767</v>
      </c>
      <c r="T55" s="64">
        <v>1</v>
      </c>
      <c r="U55" s="1">
        <f t="shared" si="16"/>
        <v>6106.8099999999995</v>
      </c>
      <c r="V55" s="1">
        <f t="shared" si="20"/>
        <v>12213.62</v>
      </c>
      <c r="W55" s="55">
        <v>0</v>
      </c>
      <c r="X55" s="1">
        <v>12213.63</v>
      </c>
      <c r="Y55" s="1">
        <v>24427.26</v>
      </c>
      <c r="Z55" s="65" t="s">
        <v>111</v>
      </c>
      <c r="AA55" s="65" t="s">
        <v>115</v>
      </c>
      <c r="AB55" s="65" t="s">
        <v>233</v>
      </c>
    </row>
    <row r="56" spans="1:28" ht="28.8" x14ac:dyDescent="0.3">
      <c r="A56" s="65" t="s">
        <v>234</v>
      </c>
      <c r="B56" s="41" t="s">
        <v>63</v>
      </c>
      <c r="C56" s="29" t="s">
        <v>18</v>
      </c>
      <c r="D56" s="65" t="s">
        <v>235</v>
      </c>
      <c r="E56" s="65" t="s">
        <v>224</v>
      </c>
      <c r="F56" s="65" t="s">
        <v>33</v>
      </c>
      <c r="G56" s="32" t="s">
        <v>43</v>
      </c>
      <c r="H56" s="65" t="s">
        <v>238</v>
      </c>
      <c r="I56">
        <v>1</v>
      </c>
      <c r="J56" s="65" t="s">
        <v>53</v>
      </c>
      <c r="K56">
        <v>16575.96</v>
      </c>
      <c r="L56" s="1">
        <v>189270</v>
      </c>
      <c r="M56" s="1"/>
      <c r="N56" s="1">
        <v>2</v>
      </c>
      <c r="O56" s="1">
        <v>378540</v>
      </c>
      <c r="P56" s="56">
        <f t="shared" si="24"/>
        <v>8.7578380091932112E-2</v>
      </c>
      <c r="Q56" s="1">
        <f>IFERROR(ROUND(X56-U56, 2), 0)</f>
        <v>172694.04</v>
      </c>
      <c r="R56" s="1">
        <f t="shared" si="25"/>
        <v>345388.08</v>
      </c>
      <c r="S56" s="56">
        <f t="shared" si="27"/>
        <v>8.7578380091932112E-2</v>
      </c>
      <c r="T56" s="56">
        <f>IFERROR((X56-Q56)/Q56,0)</f>
        <v>9.5984551638261459E-2</v>
      </c>
      <c r="U56" s="2">
        <v>16575.96</v>
      </c>
      <c r="V56" s="1">
        <f t="shared" si="20"/>
        <v>33151.919999999998</v>
      </c>
      <c r="W56" s="55">
        <v>0</v>
      </c>
      <c r="X56" s="1">
        <v>189270</v>
      </c>
      <c r="Y56" s="1">
        <v>378540</v>
      </c>
      <c r="Z56" s="65" t="s">
        <v>236</v>
      </c>
      <c r="AA56" s="65" t="s">
        <v>239</v>
      </c>
      <c r="AB56" s="65" t="s">
        <v>237</v>
      </c>
    </row>
    <row r="57" spans="1:28" ht="28.8" x14ac:dyDescent="0.3">
      <c r="A57" s="65"/>
      <c r="B57" s="41" t="s">
        <v>63</v>
      </c>
      <c r="C57" s="29" t="s">
        <v>18</v>
      </c>
      <c r="D57" s="65" t="s">
        <v>235</v>
      </c>
      <c r="E57" s="65" t="s">
        <v>224</v>
      </c>
      <c r="F57" s="65" t="s">
        <v>33</v>
      </c>
      <c r="G57" s="32" t="s">
        <v>43</v>
      </c>
      <c r="H57" s="65" t="s">
        <v>238</v>
      </c>
      <c r="I57">
        <v>1</v>
      </c>
      <c r="J57" s="65" t="s">
        <v>53</v>
      </c>
      <c r="K57">
        <v>0</v>
      </c>
      <c r="L57" s="1">
        <v>189270</v>
      </c>
      <c r="M57" s="1"/>
      <c r="N57" s="1">
        <v>2</v>
      </c>
      <c r="O57" s="1">
        <v>378540</v>
      </c>
      <c r="P57" s="56">
        <f t="shared" si="24"/>
        <v>0</v>
      </c>
      <c r="Q57" s="1">
        <f>IFERROR(ROUND(X57-U57, 2), 0)</f>
        <v>189270</v>
      </c>
      <c r="R57" s="1">
        <f t="shared" si="25"/>
        <v>378540</v>
      </c>
      <c r="S57" s="56">
        <f t="shared" si="27"/>
        <v>0</v>
      </c>
      <c r="T57" s="56">
        <f>IFERROR((X57-Q57)/Q57,0)</f>
        <v>0</v>
      </c>
      <c r="U57" s="2">
        <v>0</v>
      </c>
      <c r="V57" s="1">
        <f t="shared" si="20"/>
        <v>0</v>
      </c>
      <c r="W57" s="55">
        <v>0</v>
      </c>
      <c r="X57" s="1">
        <v>189270</v>
      </c>
      <c r="Y57" s="1">
        <v>378540</v>
      </c>
      <c r="Z57" s="65" t="s">
        <v>236</v>
      </c>
      <c r="AA57" s="65" t="s">
        <v>239</v>
      </c>
      <c r="AB57" s="65" t="s">
        <v>240</v>
      </c>
    </row>
    <row r="58" spans="1:28" ht="28.8" x14ac:dyDescent="0.3">
      <c r="A58" s="65"/>
      <c r="B58" s="41" t="s">
        <v>63</v>
      </c>
      <c r="C58" s="29" t="s">
        <v>18</v>
      </c>
      <c r="D58" s="65" t="s">
        <v>235</v>
      </c>
      <c r="E58" s="65" t="s">
        <v>224</v>
      </c>
      <c r="F58" s="65" t="s">
        <v>33</v>
      </c>
      <c r="G58" s="32" t="s">
        <v>43</v>
      </c>
      <c r="H58" s="65" t="s">
        <v>238</v>
      </c>
      <c r="I58">
        <v>1</v>
      </c>
      <c r="J58" s="65" t="s">
        <v>53</v>
      </c>
      <c r="K58">
        <v>-16575.96</v>
      </c>
      <c r="L58" s="1">
        <v>189270</v>
      </c>
      <c r="M58" s="1"/>
      <c r="N58" s="1">
        <v>2</v>
      </c>
      <c r="O58" s="1">
        <v>378540</v>
      </c>
      <c r="P58" s="56">
        <f t="shared" si="24"/>
        <v>-8.7578380091932112E-2</v>
      </c>
      <c r="Q58" s="1">
        <f>IFERROR(ROUND(X58-U58, 2), 0)</f>
        <v>205845.96</v>
      </c>
      <c r="R58" s="1">
        <f t="shared" si="25"/>
        <v>411691.92</v>
      </c>
      <c r="S58" s="56">
        <f t="shared" si="27"/>
        <v>-8.7578380091932112E-2</v>
      </c>
      <c r="T58" s="56">
        <f>IFERROR((X58-Q58)/Q58,0)</f>
        <v>-8.0526039957257323E-2</v>
      </c>
      <c r="U58" s="2">
        <v>-16575.96</v>
      </c>
      <c r="V58" s="1">
        <f t="shared" si="20"/>
        <v>-33151.919999999998</v>
      </c>
      <c r="W58" s="55">
        <v>0</v>
      </c>
      <c r="X58" s="1">
        <v>189270</v>
      </c>
      <c r="Y58" s="1">
        <v>378540</v>
      </c>
      <c r="Z58" s="65" t="s">
        <v>236</v>
      </c>
      <c r="AA58" s="65" t="s">
        <v>239</v>
      </c>
      <c r="AB58" s="65" t="s">
        <v>241</v>
      </c>
    </row>
    <row r="59" spans="1:28" ht="28.8" x14ac:dyDescent="0.3">
      <c r="A59" s="65"/>
      <c r="B59" s="41" t="s">
        <v>63</v>
      </c>
      <c r="C59" s="29" t="s">
        <v>18</v>
      </c>
      <c r="D59" s="65" t="s">
        <v>235</v>
      </c>
      <c r="E59" s="65" t="s">
        <v>224</v>
      </c>
      <c r="F59" s="65" t="s">
        <v>33</v>
      </c>
      <c r="G59" s="32" t="s">
        <v>43</v>
      </c>
      <c r="H59" s="65" t="s">
        <v>238</v>
      </c>
      <c r="I59">
        <v>1</v>
      </c>
      <c r="J59" s="65" t="s">
        <v>53</v>
      </c>
      <c r="K59" s="1">
        <v>378540</v>
      </c>
      <c r="L59" s="1">
        <v>189270</v>
      </c>
      <c r="M59" s="1"/>
      <c r="N59" s="1">
        <v>2</v>
      </c>
      <c r="O59" s="1">
        <v>378540</v>
      </c>
      <c r="P59" s="56">
        <f t="shared" si="24"/>
        <v>2</v>
      </c>
      <c r="Q59" s="1">
        <f>IFERROR(ROUND(X59-U59, 2), 0)</f>
        <v>-189270</v>
      </c>
      <c r="R59" s="1">
        <f t="shared" si="25"/>
        <v>-378540</v>
      </c>
      <c r="S59" s="56">
        <f t="shared" si="27"/>
        <v>2</v>
      </c>
      <c r="T59" s="56">
        <f>IFERROR((X59-Q59)/Q59,0)</f>
        <v>-2</v>
      </c>
      <c r="U59" s="2">
        <v>378540</v>
      </c>
      <c r="V59" s="1">
        <f t="shared" si="20"/>
        <v>757080</v>
      </c>
      <c r="W59" s="55">
        <v>0</v>
      </c>
      <c r="X59" s="1">
        <v>189270</v>
      </c>
      <c r="Y59" s="1">
        <v>378540</v>
      </c>
      <c r="Z59" s="65" t="s">
        <v>236</v>
      </c>
      <c r="AA59" s="65" t="s">
        <v>239</v>
      </c>
      <c r="AB59" s="65" t="s">
        <v>242</v>
      </c>
    </row>
    <row r="60" spans="1:28" ht="28.8" x14ac:dyDescent="0.3">
      <c r="A60" s="65" t="s">
        <v>243</v>
      </c>
      <c r="B60" s="41" t="s">
        <v>63</v>
      </c>
      <c r="C60" s="29" t="s">
        <v>18</v>
      </c>
      <c r="D60" t="s">
        <v>130</v>
      </c>
      <c r="E60" s="65" t="s">
        <v>224</v>
      </c>
      <c r="F60" s="65" t="s">
        <v>33</v>
      </c>
      <c r="G60" s="32" t="s">
        <v>43</v>
      </c>
      <c r="H60" s="65" t="s">
        <v>133</v>
      </c>
      <c r="I60">
        <v>1</v>
      </c>
      <c r="J60" t="s">
        <v>55</v>
      </c>
      <c r="K60">
        <v>36.89</v>
      </c>
      <c r="L60" s="1">
        <v>70</v>
      </c>
      <c r="M60" s="1">
        <v>36</v>
      </c>
      <c r="N60" s="1">
        <v>72</v>
      </c>
      <c r="O60" s="1">
        <v>181440</v>
      </c>
      <c r="P60" s="68">
        <v>0.59</v>
      </c>
      <c r="Q60" s="1">
        <v>1033.2</v>
      </c>
      <c r="R60" s="1">
        <v>74390.399999999994</v>
      </c>
      <c r="S60" s="56">
        <f t="shared" si="27"/>
        <v>0.35033985802046058</v>
      </c>
      <c r="T60" s="56">
        <f>IFERROR((X60-Q60)/Q60,0)</f>
        <v>0.5392663569492836</v>
      </c>
      <c r="U60" s="1">
        <f t="shared" ref="U60:U119" si="28">X60-Q60</f>
        <v>557.16999999999985</v>
      </c>
      <c r="V60" s="1">
        <f t="shared" si="20"/>
        <v>40116.239999999998</v>
      </c>
      <c r="W60" s="62">
        <v>0.36890000000000001</v>
      </c>
      <c r="X60" s="1">
        <f>IFERROR(ROUND(M60*L60*(1-W60), 2), 0)</f>
        <v>1590.37</v>
      </c>
      <c r="Y60" s="1">
        <f t="shared" ref="Y60:Y68" si="29">IFERROR(ROUND(X60*N60, 2), 0)</f>
        <v>114506.64</v>
      </c>
      <c r="Z60" t="s">
        <v>131</v>
      </c>
      <c r="AA60" s="65" t="s">
        <v>134</v>
      </c>
      <c r="AB60" s="65" t="s">
        <v>244</v>
      </c>
    </row>
    <row r="61" spans="1:28" ht="28.8" x14ac:dyDescent="0.3">
      <c r="A61" s="65"/>
      <c r="B61" s="41" t="s">
        <v>63</v>
      </c>
      <c r="C61" s="29" t="s">
        <v>18</v>
      </c>
      <c r="D61" t="s">
        <v>130</v>
      </c>
      <c r="E61" s="65" t="s">
        <v>224</v>
      </c>
      <c r="F61" s="65" t="s">
        <v>33</v>
      </c>
      <c r="G61" s="32" t="s">
        <v>43</v>
      </c>
      <c r="H61" s="65" t="s">
        <v>133</v>
      </c>
      <c r="I61">
        <v>1</v>
      </c>
      <c r="J61" t="s">
        <v>55</v>
      </c>
      <c r="K61">
        <v>0</v>
      </c>
      <c r="L61" s="1">
        <v>70</v>
      </c>
      <c r="M61" s="1">
        <v>36</v>
      </c>
      <c r="N61" s="1">
        <v>72</v>
      </c>
      <c r="O61" s="1">
        <v>181440</v>
      </c>
      <c r="P61" s="68">
        <v>0.59</v>
      </c>
      <c r="Q61" s="1">
        <v>1033.2</v>
      </c>
      <c r="R61" s="1">
        <v>74390.399999999994</v>
      </c>
      <c r="S61" s="56">
        <f t="shared" si="27"/>
        <v>0.59</v>
      </c>
      <c r="T61" s="56">
        <f t="shared" ref="T61:T73" si="30">IFERROR((X61-Q61)/Q61,0)</f>
        <v>1.4390243902439024</v>
      </c>
      <c r="U61" s="1">
        <f t="shared" si="28"/>
        <v>1486.8</v>
      </c>
      <c r="V61" s="1">
        <f t="shared" si="20"/>
        <v>107049.60000000001</v>
      </c>
      <c r="W61" s="62">
        <v>0</v>
      </c>
      <c r="X61" s="1">
        <f t="shared" ref="X61:X64" si="31">IFERROR(ROUND(M61*L61*(1-W61), 2), 0)</f>
        <v>2520</v>
      </c>
      <c r="Y61" s="1">
        <f t="shared" si="29"/>
        <v>181440</v>
      </c>
      <c r="Z61" t="s">
        <v>131</v>
      </c>
      <c r="AA61" s="65" t="s">
        <v>134</v>
      </c>
      <c r="AB61" s="65" t="s">
        <v>245</v>
      </c>
    </row>
    <row r="62" spans="1:28" ht="28.8" x14ac:dyDescent="0.3">
      <c r="A62" s="65"/>
      <c r="B62" s="41" t="s">
        <v>63</v>
      </c>
      <c r="C62" s="29" t="s">
        <v>18</v>
      </c>
      <c r="D62" t="s">
        <v>130</v>
      </c>
      <c r="E62" s="65" t="s">
        <v>224</v>
      </c>
      <c r="F62" s="65" t="s">
        <v>33</v>
      </c>
      <c r="G62" s="32" t="s">
        <v>43</v>
      </c>
      <c r="H62" s="65" t="s">
        <v>133</v>
      </c>
      <c r="I62">
        <v>1</v>
      </c>
      <c r="J62" t="s">
        <v>55</v>
      </c>
      <c r="K62">
        <v>-36.89</v>
      </c>
      <c r="L62" s="1">
        <v>70</v>
      </c>
      <c r="M62" s="1">
        <v>36</v>
      </c>
      <c r="N62" s="1">
        <v>72</v>
      </c>
      <c r="O62" s="1">
        <v>181440</v>
      </c>
      <c r="P62" s="68">
        <v>0.59</v>
      </c>
      <c r="Q62" s="1">
        <v>1033.2</v>
      </c>
      <c r="R62" s="1">
        <v>74390.399999999994</v>
      </c>
      <c r="S62" s="56">
        <f t="shared" si="27"/>
        <v>0.7004896177271186</v>
      </c>
      <c r="T62" s="56">
        <f t="shared" si="30"/>
        <v>2.3387824235385213</v>
      </c>
      <c r="U62" s="1">
        <f t="shared" si="28"/>
        <v>2416.4300000000003</v>
      </c>
      <c r="V62" s="1">
        <f t="shared" si="20"/>
        <v>173982.96</v>
      </c>
      <c r="W62" s="62">
        <v>-0.36890000000000001</v>
      </c>
      <c r="X62" s="1">
        <f t="shared" si="31"/>
        <v>3449.63</v>
      </c>
      <c r="Y62" s="1">
        <f t="shared" si="29"/>
        <v>248373.36</v>
      </c>
      <c r="Z62" t="s">
        <v>131</v>
      </c>
      <c r="AA62" s="65" t="s">
        <v>134</v>
      </c>
      <c r="AB62" s="65" t="s">
        <v>246</v>
      </c>
    </row>
    <row r="63" spans="1:28" ht="28.8" x14ac:dyDescent="0.3">
      <c r="A63" s="65"/>
      <c r="B63" s="41" t="s">
        <v>63</v>
      </c>
      <c r="C63" s="29" t="s">
        <v>18</v>
      </c>
      <c r="D63" t="s">
        <v>130</v>
      </c>
      <c r="E63" s="65" t="s">
        <v>224</v>
      </c>
      <c r="F63" s="65" t="s">
        <v>33</v>
      </c>
      <c r="G63" s="32" t="s">
        <v>43</v>
      </c>
      <c r="H63" s="65" t="s">
        <v>133</v>
      </c>
      <c r="I63">
        <v>1</v>
      </c>
      <c r="J63" t="s">
        <v>55</v>
      </c>
      <c r="K63">
        <v>200</v>
      </c>
      <c r="L63" s="1">
        <v>70</v>
      </c>
      <c r="M63" s="1">
        <v>36</v>
      </c>
      <c r="N63" s="1">
        <v>72</v>
      </c>
      <c r="O63" s="1">
        <v>181440</v>
      </c>
      <c r="P63" s="68">
        <v>0.59</v>
      </c>
      <c r="Q63" s="1">
        <v>1033.2</v>
      </c>
      <c r="R63" s="1">
        <v>74390.399999999994</v>
      </c>
      <c r="S63" s="56">
        <f t="shared" si="27"/>
        <v>1.41</v>
      </c>
      <c r="T63" s="56">
        <f t="shared" si="30"/>
        <v>-3.4390243902439019</v>
      </c>
      <c r="U63" s="1">
        <f t="shared" si="28"/>
        <v>-3553.2</v>
      </c>
      <c r="V63" s="1">
        <f t="shared" si="20"/>
        <v>-255830.39999999999</v>
      </c>
      <c r="W63" s="62">
        <v>2</v>
      </c>
      <c r="X63" s="1">
        <f t="shared" si="31"/>
        <v>-2520</v>
      </c>
      <c r="Y63" s="1">
        <f t="shared" si="29"/>
        <v>-181440</v>
      </c>
      <c r="Z63" t="s">
        <v>131</v>
      </c>
      <c r="AA63" s="65" t="s">
        <v>134</v>
      </c>
      <c r="AB63" s="65" t="s">
        <v>247</v>
      </c>
    </row>
    <row r="64" spans="1:28" ht="28.8" x14ac:dyDescent="0.3">
      <c r="A64" s="65"/>
      <c r="B64" s="41" t="s">
        <v>63</v>
      </c>
      <c r="C64" s="29" t="s">
        <v>18</v>
      </c>
      <c r="D64" t="s">
        <v>130</v>
      </c>
      <c r="E64" s="65" t="s">
        <v>224</v>
      </c>
      <c r="F64" s="65" t="s">
        <v>33</v>
      </c>
      <c r="G64" s="32" t="s">
        <v>43</v>
      </c>
      <c r="H64" s="65" t="s">
        <v>133</v>
      </c>
      <c r="I64">
        <v>1</v>
      </c>
      <c r="J64" t="s">
        <v>55</v>
      </c>
      <c r="K64">
        <v>100</v>
      </c>
      <c r="L64" s="1">
        <v>70</v>
      </c>
      <c r="M64" s="1">
        <v>36</v>
      </c>
      <c r="N64" s="1">
        <v>72</v>
      </c>
      <c r="O64" s="1">
        <v>181440</v>
      </c>
      <c r="P64" s="68">
        <v>0.59</v>
      </c>
      <c r="Q64" s="1">
        <v>1033.2</v>
      </c>
      <c r="R64" s="1">
        <v>74390.399999999994</v>
      </c>
      <c r="S64" s="56">
        <f t="shared" si="27"/>
        <v>0</v>
      </c>
      <c r="T64" s="56">
        <f t="shared" si="30"/>
        <v>-1</v>
      </c>
      <c r="U64" s="1">
        <f t="shared" si="28"/>
        <v>-1033.2</v>
      </c>
      <c r="V64" s="1">
        <f t="shared" si="20"/>
        <v>-74390.399999999994</v>
      </c>
      <c r="W64" s="62">
        <v>1</v>
      </c>
      <c r="X64" s="1">
        <f t="shared" si="31"/>
        <v>0</v>
      </c>
      <c r="Y64" s="1">
        <f t="shared" si="29"/>
        <v>0</v>
      </c>
      <c r="Z64" t="s">
        <v>131</v>
      </c>
      <c r="AA64" s="65" t="s">
        <v>134</v>
      </c>
      <c r="AB64" s="65" t="s">
        <v>248</v>
      </c>
    </row>
    <row r="65" spans="1:28" ht="28.8" x14ac:dyDescent="0.3">
      <c r="A65" s="65" t="s">
        <v>249</v>
      </c>
      <c r="B65" s="41" t="s">
        <v>63</v>
      </c>
      <c r="C65" s="29" t="s">
        <v>18</v>
      </c>
      <c r="D65" s="65" t="s">
        <v>110</v>
      </c>
      <c r="E65" s="65" t="s">
        <v>224</v>
      </c>
      <c r="F65" s="65" t="s">
        <v>33</v>
      </c>
      <c r="G65" s="32" t="s">
        <v>43</v>
      </c>
      <c r="H65" s="65" t="s">
        <v>192</v>
      </c>
      <c r="I65" s="65">
        <v>1</v>
      </c>
      <c r="J65" s="65" t="s">
        <v>56</v>
      </c>
      <c r="K65" s="65">
        <v>60851.25</v>
      </c>
      <c r="L65" s="57">
        <v>69846.12</v>
      </c>
      <c r="M65" s="58">
        <v>36</v>
      </c>
      <c r="N65" s="57">
        <v>2</v>
      </c>
      <c r="O65" s="66">
        <v>139692.24</v>
      </c>
      <c r="P65" s="67">
        <v>0.4</v>
      </c>
      <c r="Q65" s="58">
        <v>41907.599999999999</v>
      </c>
      <c r="R65" s="66">
        <v>83815.199999999997</v>
      </c>
      <c r="S65" s="56">
        <f t="shared" si="27"/>
        <v>0.311310778332409</v>
      </c>
      <c r="T65" s="56">
        <f t="shared" si="30"/>
        <v>0.4520337599862555</v>
      </c>
      <c r="U65" s="1">
        <f t="shared" si="28"/>
        <v>18943.650000000001</v>
      </c>
      <c r="V65" s="1">
        <f t="shared" si="20"/>
        <v>37887.300000000003</v>
      </c>
      <c r="W65" s="56">
        <f>IFERROR((L65-X65)/L65,0)</f>
        <v>0.12878124081910342</v>
      </c>
      <c r="X65" s="3">
        <v>60851.25</v>
      </c>
      <c r="Y65" s="1">
        <f t="shared" si="29"/>
        <v>121702.5</v>
      </c>
      <c r="Z65" s="65" t="s">
        <v>111</v>
      </c>
      <c r="AA65" s="65" t="s">
        <v>61</v>
      </c>
      <c r="AB65" s="65" t="s">
        <v>250</v>
      </c>
    </row>
    <row r="66" spans="1:28" ht="28.8" x14ac:dyDescent="0.3">
      <c r="A66" s="65"/>
      <c r="B66" s="41" t="s">
        <v>63</v>
      </c>
      <c r="C66" s="29" t="s">
        <v>18</v>
      </c>
      <c r="D66" s="65" t="s">
        <v>110</v>
      </c>
      <c r="E66" s="65" t="s">
        <v>224</v>
      </c>
      <c r="F66" s="65" t="s">
        <v>33</v>
      </c>
      <c r="G66" s="32" t="s">
        <v>43</v>
      </c>
      <c r="H66" s="65" t="s">
        <v>192</v>
      </c>
      <c r="I66" s="65">
        <v>1</v>
      </c>
      <c r="J66" s="65" t="s">
        <v>56</v>
      </c>
      <c r="K66" s="65">
        <v>0</v>
      </c>
      <c r="L66" s="57">
        <v>69846.12</v>
      </c>
      <c r="M66" s="58">
        <v>36</v>
      </c>
      <c r="N66" s="57">
        <v>2</v>
      </c>
      <c r="O66" s="66">
        <v>139692.24</v>
      </c>
      <c r="P66" s="67">
        <v>0.4</v>
      </c>
      <c r="Q66" s="58">
        <v>41907.599999999999</v>
      </c>
      <c r="R66" s="66">
        <v>83815.199999999997</v>
      </c>
      <c r="S66" s="56">
        <f t="shared" si="27"/>
        <v>0</v>
      </c>
      <c r="T66" s="56">
        <f t="shared" si="30"/>
        <v>-1</v>
      </c>
      <c r="U66" s="1">
        <f t="shared" si="28"/>
        <v>-41907.599999999999</v>
      </c>
      <c r="V66" s="1">
        <f t="shared" si="20"/>
        <v>-83815.199999999997</v>
      </c>
      <c r="W66" s="56">
        <f>IFERROR((L66-X66)/L66,0)</f>
        <v>1</v>
      </c>
      <c r="X66" s="3">
        <v>0</v>
      </c>
      <c r="Y66" s="1">
        <f t="shared" si="29"/>
        <v>0</v>
      </c>
      <c r="Z66" s="65" t="s">
        <v>111</v>
      </c>
      <c r="AA66" s="65" t="s">
        <v>61</v>
      </c>
      <c r="AB66" s="65" t="s">
        <v>251</v>
      </c>
    </row>
    <row r="67" spans="1:28" ht="28.8" x14ac:dyDescent="0.3">
      <c r="A67" s="65"/>
      <c r="B67" s="41" t="s">
        <v>63</v>
      </c>
      <c r="C67" s="29" t="s">
        <v>18</v>
      </c>
      <c r="D67" s="65" t="s">
        <v>110</v>
      </c>
      <c r="E67" s="65" t="s">
        <v>224</v>
      </c>
      <c r="F67" s="65" t="s">
        <v>33</v>
      </c>
      <c r="G67" s="32" t="s">
        <v>43</v>
      </c>
      <c r="H67" s="65" t="s">
        <v>192</v>
      </c>
      <c r="I67" s="65">
        <v>1</v>
      </c>
      <c r="J67" s="65" t="s">
        <v>56</v>
      </c>
      <c r="K67" s="65">
        <v>-60851.25</v>
      </c>
      <c r="L67" s="57">
        <v>69846.12</v>
      </c>
      <c r="M67" s="58">
        <v>36</v>
      </c>
      <c r="N67" s="57">
        <v>2</v>
      </c>
      <c r="O67" s="66">
        <v>139692.24</v>
      </c>
      <c r="P67" s="67">
        <v>0.4</v>
      </c>
      <c r="Q67" s="58">
        <v>41907.599999999999</v>
      </c>
      <c r="R67" s="66">
        <v>83815.199999999997</v>
      </c>
      <c r="S67" s="56">
        <f t="shared" si="27"/>
        <v>1.6886892216675911</v>
      </c>
      <c r="T67" s="56">
        <f t="shared" si="30"/>
        <v>-2.4520337599862558</v>
      </c>
      <c r="U67" s="1">
        <f t="shared" si="28"/>
        <v>-102758.85</v>
      </c>
      <c r="V67" s="1">
        <f t="shared" si="20"/>
        <v>-205517.7</v>
      </c>
      <c r="W67" s="56">
        <f>IFERROR((L67-X67)/L67,0)</f>
        <v>1.8712187591808966</v>
      </c>
      <c r="X67" s="3">
        <v>-60851.25</v>
      </c>
      <c r="Y67" s="1">
        <f t="shared" si="29"/>
        <v>-121702.5</v>
      </c>
      <c r="Z67" s="65" t="s">
        <v>111</v>
      </c>
      <c r="AA67" s="65" t="s">
        <v>61</v>
      </c>
      <c r="AB67" s="65" t="s">
        <v>252</v>
      </c>
    </row>
    <row r="68" spans="1:28" ht="28.8" x14ac:dyDescent="0.3">
      <c r="A68" s="65"/>
      <c r="B68" s="41" t="s">
        <v>63</v>
      </c>
      <c r="C68" s="29" t="s">
        <v>18</v>
      </c>
      <c r="D68" s="65" t="s">
        <v>110</v>
      </c>
      <c r="E68" s="65" t="s">
        <v>224</v>
      </c>
      <c r="F68" s="65" t="s">
        <v>33</v>
      </c>
      <c r="G68" s="32" t="s">
        <v>43</v>
      </c>
      <c r="H68" s="65" t="s">
        <v>192</v>
      </c>
      <c r="I68" s="65">
        <v>1</v>
      </c>
      <c r="J68" s="65" t="s">
        <v>56</v>
      </c>
      <c r="K68" s="66">
        <v>139692.24</v>
      </c>
      <c r="L68" s="57">
        <v>69846.12</v>
      </c>
      <c r="M68" s="58">
        <v>36</v>
      </c>
      <c r="N68" s="57">
        <v>2</v>
      </c>
      <c r="O68" s="66">
        <v>139692.24</v>
      </c>
      <c r="P68" s="67">
        <v>0.4</v>
      </c>
      <c r="Q68" s="58">
        <v>41907.599999999999</v>
      </c>
      <c r="R68" s="66">
        <v>83815.199999999997</v>
      </c>
      <c r="S68" s="56">
        <f t="shared" si="27"/>
        <v>0.70000051541875186</v>
      </c>
      <c r="T68" s="56">
        <f t="shared" si="30"/>
        <v>2.333339060218194</v>
      </c>
      <c r="U68" s="1">
        <f t="shared" si="28"/>
        <v>97784.639999999985</v>
      </c>
      <c r="V68" s="1">
        <f t="shared" si="20"/>
        <v>195569.28</v>
      </c>
      <c r="W68" s="56">
        <f>IFERROR((L68-X68)/L68,0)</f>
        <v>-1</v>
      </c>
      <c r="X68" s="3">
        <v>139692.24</v>
      </c>
      <c r="Y68" s="1">
        <f t="shared" si="29"/>
        <v>279384.48</v>
      </c>
      <c r="Z68" s="65" t="s">
        <v>111</v>
      </c>
      <c r="AA68" s="65" t="s">
        <v>61</v>
      </c>
      <c r="AB68" s="65" t="s">
        <v>253</v>
      </c>
    </row>
    <row r="69" spans="1:28" ht="28.8" x14ac:dyDescent="0.3">
      <c r="A69" s="65" t="s">
        <v>254</v>
      </c>
      <c r="B69" s="41" t="s">
        <v>63</v>
      </c>
      <c r="C69" s="29" t="s">
        <v>18</v>
      </c>
      <c r="D69" t="s">
        <v>130</v>
      </c>
      <c r="E69" s="65" t="s">
        <v>224</v>
      </c>
      <c r="F69" s="65" t="s">
        <v>33</v>
      </c>
      <c r="G69" s="32" t="s">
        <v>43</v>
      </c>
      <c r="H69" s="65" t="s">
        <v>133</v>
      </c>
      <c r="I69">
        <v>1</v>
      </c>
      <c r="J69" t="s">
        <v>51</v>
      </c>
      <c r="K69">
        <v>34.824896000000003</v>
      </c>
      <c r="L69" s="1">
        <v>70</v>
      </c>
      <c r="M69" s="1">
        <v>36</v>
      </c>
      <c r="N69" s="1">
        <v>72</v>
      </c>
      <c r="O69" s="1">
        <v>181440</v>
      </c>
      <c r="P69" s="56">
        <f>IFERROR((M69*L69-Q69)/(M69*L69),0)</f>
        <v>0.34824999999999995</v>
      </c>
      <c r="Q69" s="1">
        <f>IFERROR(ROUND(X69*(1-S69), 2), 0)</f>
        <v>1642.41</v>
      </c>
      <c r="R69" s="1">
        <f t="shared" ref="R69:R78" si="32">IFERROR(ROUND(Q69*N69, 2), 0)</f>
        <v>118253.52</v>
      </c>
      <c r="S69" s="64">
        <v>0.34824896</v>
      </c>
      <c r="T69" s="56">
        <f t="shared" si="30"/>
        <v>0.53433064825469878</v>
      </c>
      <c r="U69" s="1">
        <f t="shared" si="28"/>
        <v>877.58999999999992</v>
      </c>
      <c r="V69" s="1">
        <f>ROUND(U69*N69, 2)</f>
        <v>63186.48</v>
      </c>
      <c r="W69" s="55">
        <v>0</v>
      </c>
      <c r="X69" s="1">
        <v>2520</v>
      </c>
      <c r="Y69" s="1">
        <v>181440</v>
      </c>
      <c r="Z69" t="s">
        <v>131</v>
      </c>
      <c r="AA69" s="65" t="s">
        <v>134</v>
      </c>
      <c r="AB69" s="65" t="s">
        <v>255</v>
      </c>
    </row>
    <row r="70" spans="1:28" ht="28.8" x14ac:dyDescent="0.3">
      <c r="A70" s="65"/>
      <c r="B70" s="41" t="s">
        <v>63</v>
      </c>
      <c r="C70" s="29" t="s">
        <v>18</v>
      </c>
      <c r="D70" t="s">
        <v>130</v>
      </c>
      <c r="E70" s="65" t="s">
        <v>224</v>
      </c>
      <c r="F70" s="65" t="s">
        <v>33</v>
      </c>
      <c r="G70" s="32" t="s">
        <v>43</v>
      </c>
      <c r="H70" s="65" t="s">
        <v>133</v>
      </c>
      <c r="I70">
        <v>1</v>
      </c>
      <c r="J70" t="s">
        <v>51</v>
      </c>
      <c r="K70">
        <v>0</v>
      </c>
      <c r="L70" s="1">
        <v>70</v>
      </c>
      <c r="M70" s="1">
        <v>36</v>
      </c>
      <c r="N70" s="1">
        <v>72</v>
      </c>
      <c r="O70" s="1">
        <v>181440</v>
      </c>
      <c r="P70" s="56">
        <f>IFERROR((M70*L70-Q70)/(M70*L70),0)</f>
        <v>0</v>
      </c>
      <c r="Q70" s="1">
        <f>IFERROR(ROUND(X70*(1-S70), 2), 0)</f>
        <v>2520</v>
      </c>
      <c r="R70" s="1">
        <f t="shared" si="32"/>
        <v>181440</v>
      </c>
      <c r="S70" s="64">
        <v>0</v>
      </c>
      <c r="T70" s="56">
        <f t="shared" si="30"/>
        <v>0</v>
      </c>
      <c r="U70" s="1">
        <f t="shared" si="28"/>
        <v>0</v>
      </c>
      <c r="V70" s="1">
        <f>ROUND(U70*N70, 2)</f>
        <v>0</v>
      </c>
      <c r="W70" s="55">
        <v>0</v>
      </c>
      <c r="X70" s="1">
        <v>2520</v>
      </c>
      <c r="Y70" s="1">
        <v>181440</v>
      </c>
      <c r="Z70" t="s">
        <v>131</v>
      </c>
      <c r="AA70" s="65" t="s">
        <v>134</v>
      </c>
      <c r="AB70" s="65" t="s">
        <v>256</v>
      </c>
    </row>
    <row r="71" spans="1:28" ht="28.8" x14ac:dyDescent="0.3">
      <c r="A71" s="65"/>
      <c r="B71" s="41" t="s">
        <v>63</v>
      </c>
      <c r="C71" s="29" t="s">
        <v>18</v>
      </c>
      <c r="D71" t="s">
        <v>130</v>
      </c>
      <c r="E71" s="65" t="s">
        <v>224</v>
      </c>
      <c r="F71" s="65" t="s">
        <v>33</v>
      </c>
      <c r="G71" s="32" t="s">
        <v>43</v>
      </c>
      <c r="H71" s="65" t="s">
        <v>133</v>
      </c>
      <c r="I71">
        <v>1</v>
      </c>
      <c r="J71" t="s">
        <v>51</v>
      </c>
      <c r="K71">
        <v>-34.824896000000003</v>
      </c>
      <c r="L71" s="1">
        <v>70</v>
      </c>
      <c r="M71" s="1">
        <v>36</v>
      </c>
      <c r="N71" s="1">
        <v>72</v>
      </c>
      <c r="O71" s="1">
        <v>181440</v>
      </c>
      <c r="P71" s="56">
        <f>IFERROR((M71*L71-Q71)/(M71*L71),0)</f>
        <v>-0.34825000000000006</v>
      </c>
      <c r="Q71" s="1">
        <f>IFERROR(ROUND(X71*(1-S71), 2), 0)</f>
        <v>3397.59</v>
      </c>
      <c r="R71" s="1">
        <f t="shared" si="32"/>
        <v>244626.48</v>
      </c>
      <c r="S71" s="64">
        <v>-0.34824896</v>
      </c>
      <c r="T71" s="56">
        <f t="shared" si="30"/>
        <v>-0.25829779343593551</v>
      </c>
      <c r="U71" s="1">
        <f t="shared" si="28"/>
        <v>-877.59000000000015</v>
      </c>
      <c r="V71" s="1">
        <f>ROUND(U71*N71, 2)</f>
        <v>-63186.48</v>
      </c>
      <c r="W71" s="55">
        <v>0</v>
      </c>
      <c r="X71" s="1">
        <v>2520</v>
      </c>
      <c r="Y71" s="1">
        <v>181440</v>
      </c>
      <c r="Z71" t="s">
        <v>131</v>
      </c>
      <c r="AA71" s="65" t="s">
        <v>134</v>
      </c>
      <c r="AB71" s="65" t="s">
        <v>257</v>
      </c>
    </row>
    <row r="72" spans="1:28" ht="28.8" x14ac:dyDescent="0.3">
      <c r="A72" s="65"/>
      <c r="B72" s="41" t="s">
        <v>63</v>
      </c>
      <c r="C72" s="29" t="s">
        <v>18</v>
      </c>
      <c r="D72" t="s">
        <v>130</v>
      </c>
      <c r="E72" s="65" t="s">
        <v>224</v>
      </c>
      <c r="F72" s="65" t="s">
        <v>33</v>
      </c>
      <c r="G72" s="32" t="s">
        <v>43</v>
      </c>
      <c r="H72" s="65" t="s">
        <v>133</v>
      </c>
      <c r="I72">
        <v>1</v>
      </c>
      <c r="J72" t="s">
        <v>51</v>
      </c>
      <c r="K72">
        <v>200</v>
      </c>
      <c r="L72" s="1">
        <v>70</v>
      </c>
      <c r="M72" s="1">
        <v>36</v>
      </c>
      <c r="N72" s="1">
        <v>72</v>
      </c>
      <c r="O72" s="1">
        <v>181440</v>
      </c>
      <c r="P72" s="56">
        <f>IFERROR((M72*L72-Q72)/(M72*L72),0)</f>
        <v>2</v>
      </c>
      <c r="Q72" s="1">
        <f>IFERROR(ROUND(X72*(1-S72), 2), 0)</f>
        <v>-2520</v>
      </c>
      <c r="R72" s="1">
        <f t="shared" si="32"/>
        <v>-181440</v>
      </c>
      <c r="S72" s="64">
        <v>2</v>
      </c>
      <c r="T72" s="56">
        <f t="shared" si="30"/>
        <v>-2</v>
      </c>
      <c r="U72" s="1">
        <f t="shared" si="28"/>
        <v>5040</v>
      </c>
      <c r="V72" s="1">
        <f>ROUND(U72*N72, 2)</f>
        <v>362880</v>
      </c>
      <c r="W72" s="55">
        <v>0</v>
      </c>
      <c r="X72" s="1">
        <v>2520</v>
      </c>
      <c r="Y72" s="1">
        <v>181440</v>
      </c>
      <c r="Z72" t="s">
        <v>131</v>
      </c>
      <c r="AA72" s="65" t="s">
        <v>134</v>
      </c>
      <c r="AB72" s="65" t="s">
        <v>258</v>
      </c>
    </row>
    <row r="73" spans="1:28" ht="28.8" x14ac:dyDescent="0.3">
      <c r="A73" s="65"/>
      <c r="B73" s="41" t="s">
        <v>63</v>
      </c>
      <c r="C73" s="29" t="s">
        <v>18</v>
      </c>
      <c r="D73" t="s">
        <v>130</v>
      </c>
      <c r="E73" s="65" t="s">
        <v>224</v>
      </c>
      <c r="F73" s="65" t="s">
        <v>33</v>
      </c>
      <c r="G73" s="32" t="s">
        <v>43</v>
      </c>
      <c r="H73" s="65" t="s">
        <v>133</v>
      </c>
      <c r="I73">
        <v>1</v>
      </c>
      <c r="J73" t="s">
        <v>51</v>
      </c>
      <c r="K73">
        <v>100</v>
      </c>
      <c r="L73" s="1">
        <v>70</v>
      </c>
      <c r="M73" s="1">
        <v>36</v>
      </c>
      <c r="N73" s="1">
        <v>72</v>
      </c>
      <c r="O73" s="1">
        <v>181440</v>
      </c>
      <c r="P73" s="56">
        <f>IFERROR((M73*L73-Q73)/(M73*L73),0)</f>
        <v>1</v>
      </c>
      <c r="Q73" s="1">
        <f>IFERROR(ROUND(X73*(1-S73), 2), 0)</f>
        <v>0</v>
      </c>
      <c r="R73" s="1">
        <f t="shared" si="32"/>
        <v>0</v>
      </c>
      <c r="S73" s="64">
        <v>1</v>
      </c>
      <c r="T73" s="56">
        <f t="shared" si="30"/>
        <v>0</v>
      </c>
      <c r="U73" s="1">
        <f t="shared" si="28"/>
        <v>2520</v>
      </c>
      <c r="V73" s="1">
        <f>ROUND(U73*N73, 2)</f>
        <v>181440</v>
      </c>
      <c r="W73" s="55">
        <v>0</v>
      </c>
      <c r="X73" s="1">
        <v>2520</v>
      </c>
      <c r="Y73" s="1">
        <v>181440</v>
      </c>
      <c r="Z73" t="s">
        <v>131</v>
      </c>
      <c r="AA73" s="65" t="s">
        <v>134</v>
      </c>
      <c r="AB73" s="65" t="s">
        <v>259</v>
      </c>
    </row>
    <row r="74" spans="1:28" ht="28.8" x14ac:dyDescent="0.3">
      <c r="A74" s="65" t="s">
        <v>260</v>
      </c>
      <c r="B74" s="41" t="s">
        <v>63</v>
      </c>
      <c r="C74" s="29" t="s">
        <v>18</v>
      </c>
      <c r="D74" s="65" t="s">
        <v>110</v>
      </c>
      <c r="E74" s="65" t="s">
        <v>224</v>
      </c>
      <c r="F74" s="65" t="s">
        <v>33</v>
      </c>
      <c r="G74" s="32" t="s">
        <v>43</v>
      </c>
      <c r="H74" s="65" t="s">
        <v>192</v>
      </c>
      <c r="I74" s="65">
        <v>1</v>
      </c>
      <c r="J74" t="s">
        <v>39</v>
      </c>
      <c r="K74" s="65">
        <v>56.879853099999998</v>
      </c>
      <c r="L74" s="57">
        <v>69846.12</v>
      </c>
      <c r="M74" s="58">
        <v>36</v>
      </c>
      <c r="N74" s="57">
        <v>2</v>
      </c>
      <c r="O74" s="66">
        <v>139692.24</v>
      </c>
      <c r="P74" s="62">
        <v>0.568798531</v>
      </c>
      <c r="Q74" s="1">
        <f>IFERROR(ROUND(L74*(1-P74), 2), 0)</f>
        <v>30117.75</v>
      </c>
      <c r="R74" s="1">
        <f t="shared" si="32"/>
        <v>60235.5</v>
      </c>
      <c r="S74" s="60">
        <v>0.40000103083750299</v>
      </c>
      <c r="T74" s="60">
        <v>0.66666953010909702</v>
      </c>
      <c r="U74" s="1">
        <f t="shared" si="28"/>
        <v>20078.589999999997</v>
      </c>
      <c r="V74" s="1">
        <f t="shared" ref="V74:V100" si="33">ROUND(U74*N74, 2)</f>
        <v>40157.18</v>
      </c>
      <c r="W74" s="56">
        <f>IFERROR((L74-X74)/L74,0)</f>
        <v>0.28132958566631905</v>
      </c>
      <c r="X74" s="1">
        <f>IFERROR(ROUND(Q74/(1-S74), 2), 0)</f>
        <v>50196.34</v>
      </c>
      <c r="Y74" s="1">
        <f>IFERROR(ROUND(X74*N74, 2), 0)</f>
        <v>100392.68</v>
      </c>
      <c r="Z74" s="65" t="s">
        <v>111</v>
      </c>
      <c r="AA74" s="65" t="s">
        <v>61</v>
      </c>
      <c r="AB74" s="65" t="s">
        <v>261</v>
      </c>
    </row>
    <row r="75" spans="1:28" ht="28.8" x14ac:dyDescent="0.3">
      <c r="A75" s="65"/>
      <c r="B75" s="41" t="s">
        <v>63</v>
      </c>
      <c r="C75" s="29" t="s">
        <v>18</v>
      </c>
      <c r="D75" s="65" t="s">
        <v>110</v>
      </c>
      <c r="E75" s="65" t="s">
        <v>224</v>
      </c>
      <c r="F75" s="65" t="s">
        <v>33</v>
      </c>
      <c r="G75" s="32" t="s">
        <v>43</v>
      </c>
      <c r="H75" s="65" t="s">
        <v>192</v>
      </c>
      <c r="I75" s="65">
        <v>1</v>
      </c>
      <c r="J75" t="s">
        <v>39</v>
      </c>
      <c r="K75" s="65">
        <v>0</v>
      </c>
      <c r="L75" s="57">
        <v>69846.12</v>
      </c>
      <c r="M75" s="58">
        <v>36</v>
      </c>
      <c r="N75" s="57">
        <v>2</v>
      </c>
      <c r="O75" s="66">
        <v>139692.24</v>
      </c>
      <c r="P75" s="62">
        <v>0</v>
      </c>
      <c r="Q75" s="1">
        <f>IFERROR(ROUND(L75*(1-P75), 2), 0)</f>
        <v>69846.12</v>
      </c>
      <c r="R75" s="1">
        <f t="shared" si="32"/>
        <v>139692.24</v>
      </c>
      <c r="S75" s="60">
        <v>0.40000103083750299</v>
      </c>
      <c r="T75" s="60">
        <v>0.66666953010909702</v>
      </c>
      <c r="U75" s="1">
        <f t="shared" si="28"/>
        <v>46564.28</v>
      </c>
      <c r="V75" s="1">
        <f t="shared" si="33"/>
        <v>93128.56</v>
      </c>
      <c r="W75" s="56">
        <f>IFERROR((L75-X75)/L75,0)</f>
        <v>-0.66666953010417762</v>
      </c>
      <c r="X75" s="1">
        <f>IFERROR(ROUND(Q75/(1-S75), 2), 0)</f>
        <v>116410.4</v>
      </c>
      <c r="Y75" s="1">
        <f>IFERROR(ROUND(X75*N75, 2), 0)</f>
        <v>232820.8</v>
      </c>
      <c r="Z75" s="65" t="s">
        <v>111</v>
      </c>
      <c r="AA75" s="65" t="s">
        <v>61</v>
      </c>
      <c r="AB75" s="65" t="s">
        <v>262</v>
      </c>
    </row>
    <row r="76" spans="1:28" ht="28.8" x14ac:dyDescent="0.3">
      <c r="A76" s="65"/>
      <c r="B76" s="41" t="s">
        <v>63</v>
      </c>
      <c r="C76" s="29" t="s">
        <v>18</v>
      </c>
      <c r="D76" s="65" t="s">
        <v>110</v>
      </c>
      <c r="E76" s="65" t="s">
        <v>224</v>
      </c>
      <c r="F76" s="65" t="s">
        <v>33</v>
      </c>
      <c r="G76" s="32" t="s">
        <v>43</v>
      </c>
      <c r="H76" s="65" t="s">
        <v>192</v>
      </c>
      <c r="I76" s="65">
        <v>1</v>
      </c>
      <c r="J76" t="s">
        <v>39</v>
      </c>
      <c r="K76" s="65">
        <v>-56.879853099999998</v>
      </c>
      <c r="L76" s="57">
        <v>69846.12</v>
      </c>
      <c r="M76" s="58">
        <v>36</v>
      </c>
      <c r="N76" s="57">
        <v>2</v>
      </c>
      <c r="O76" s="66">
        <v>139692.24</v>
      </c>
      <c r="P76" s="62">
        <v>-0.568798531</v>
      </c>
      <c r="Q76" s="1">
        <f>IFERROR(ROUND(L76*(1-P76), 2), 0)</f>
        <v>109574.49</v>
      </c>
      <c r="R76" s="1">
        <f t="shared" si="32"/>
        <v>219148.98</v>
      </c>
      <c r="S76" s="60">
        <v>0.40000103083750299</v>
      </c>
      <c r="T76" s="60">
        <v>0.66666953010909702</v>
      </c>
      <c r="U76" s="1">
        <f t="shared" si="28"/>
        <v>73049.969999999987</v>
      </c>
      <c r="V76" s="1">
        <f t="shared" si="33"/>
        <v>146099.94</v>
      </c>
      <c r="W76" s="56">
        <f>IFERROR((L76-X76)/L76,0)</f>
        <v>-1.6146686458746742</v>
      </c>
      <c r="X76" s="1">
        <f>IFERROR(ROUND(Q76/(1-S76), 2), 0)</f>
        <v>182624.46</v>
      </c>
      <c r="Y76" s="1">
        <f>IFERROR(ROUND(X76*N76, 2), 0)</f>
        <v>365248.92</v>
      </c>
      <c r="Z76" s="65" t="s">
        <v>111</v>
      </c>
      <c r="AA76" s="65" t="s">
        <v>61</v>
      </c>
      <c r="AB76" s="65" t="s">
        <v>263</v>
      </c>
    </row>
    <row r="77" spans="1:28" ht="28.8" x14ac:dyDescent="0.3">
      <c r="A77" s="65"/>
      <c r="B77" s="41" t="s">
        <v>63</v>
      </c>
      <c r="C77" s="29" t="s">
        <v>18</v>
      </c>
      <c r="D77" s="65" t="s">
        <v>110</v>
      </c>
      <c r="E77" s="65" t="s">
        <v>224</v>
      </c>
      <c r="F77" s="65" t="s">
        <v>33</v>
      </c>
      <c r="G77" s="32" t="s">
        <v>43</v>
      </c>
      <c r="H77" s="65" t="s">
        <v>192</v>
      </c>
      <c r="I77" s="65">
        <v>1</v>
      </c>
      <c r="J77" t="s">
        <v>39</v>
      </c>
      <c r="K77" s="65">
        <v>200</v>
      </c>
      <c r="L77" s="57">
        <v>69846.12</v>
      </c>
      <c r="M77" s="58">
        <v>36</v>
      </c>
      <c r="N77" s="57">
        <v>2</v>
      </c>
      <c r="O77" s="66">
        <v>139692.24</v>
      </c>
      <c r="P77" s="62">
        <v>2</v>
      </c>
      <c r="Q77" s="1">
        <f>IFERROR(ROUND(L77*(1-P77), 2), 0)</f>
        <v>-69846.12</v>
      </c>
      <c r="R77" s="1">
        <f t="shared" si="32"/>
        <v>-139692.24</v>
      </c>
      <c r="S77" s="60">
        <v>0.40000103083750299</v>
      </c>
      <c r="T77" s="60">
        <v>0.66666953010909702</v>
      </c>
      <c r="U77" s="1">
        <f t="shared" si="28"/>
        <v>-46564.28</v>
      </c>
      <c r="V77" s="1">
        <f t="shared" si="33"/>
        <v>-93128.56</v>
      </c>
      <c r="W77" s="56">
        <f>IFERROR((L77-X77)/L77,0)</f>
        <v>2.6666695301041776</v>
      </c>
      <c r="X77" s="1">
        <f>IFERROR(ROUND(Q77/(1-S77), 2), 0)</f>
        <v>-116410.4</v>
      </c>
      <c r="Y77" s="1">
        <f>IFERROR(ROUND(X77*N77, 2), 0)</f>
        <v>-232820.8</v>
      </c>
      <c r="Z77" s="65" t="s">
        <v>111</v>
      </c>
      <c r="AA77" s="65" t="s">
        <v>61</v>
      </c>
      <c r="AB77" s="65" t="s">
        <v>264</v>
      </c>
    </row>
    <row r="78" spans="1:28" ht="28.8" x14ac:dyDescent="0.3">
      <c r="A78" s="65"/>
      <c r="B78" s="41" t="s">
        <v>63</v>
      </c>
      <c r="C78" s="29" t="s">
        <v>18</v>
      </c>
      <c r="D78" s="65" t="s">
        <v>110</v>
      </c>
      <c r="E78" s="65" t="s">
        <v>224</v>
      </c>
      <c r="F78" s="65" t="s">
        <v>33</v>
      </c>
      <c r="G78" s="32" t="s">
        <v>43</v>
      </c>
      <c r="H78" s="65" t="s">
        <v>192</v>
      </c>
      <c r="I78" s="65">
        <v>1</v>
      </c>
      <c r="J78" t="s">
        <v>39</v>
      </c>
      <c r="K78" s="65">
        <v>100</v>
      </c>
      <c r="L78" s="57">
        <v>69846.12</v>
      </c>
      <c r="M78" s="58">
        <v>36</v>
      </c>
      <c r="N78" s="57">
        <v>2</v>
      </c>
      <c r="O78" s="66">
        <v>139692.24</v>
      </c>
      <c r="P78" s="62">
        <v>1</v>
      </c>
      <c r="Q78" s="1">
        <f>IFERROR(ROUND(L78*(1-P78), 2), 0)</f>
        <v>0</v>
      </c>
      <c r="R78" s="1">
        <f t="shared" si="32"/>
        <v>0</v>
      </c>
      <c r="S78" s="60">
        <v>0.40000103083750299</v>
      </c>
      <c r="T78" s="60">
        <v>0.66666953010909702</v>
      </c>
      <c r="U78" s="1">
        <f t="shared" si="28"/>
        <v>0</v>
      </c>
      <c r="V78" s="1">
        <f t="shared" si="33"/>
        <v>0</v>
      </c>
      <c r="W78" s="56">
        <f>IFERROR((L78-X78)/L78,0)</f>
        <v>1</v>
      </c>
      <c r="X78" s="1">
        <f>IFERROR(ROUND(Q78/(1-S78), 2), 0)</f>
        <v>0</v>
      </c>
      <c r="Y78" s="1">
        <f>IFERROR(ROUND(X78*N78, 2), 0)</f>
        <v>0</v>
      </c>
      <c r="Z78" s="65" t="s">
        <v>111</v>
      </c>
      <c r="AA78" s="65" t="s">
        <v>61</v>
      </c>
      <c r="AB78" s="65" t="s">
        <v>265</v>
      </c>
    </row>
    <row r="79" spans="1:28" ht="28.8" x14ac:dyDescent="0.3">
      <c r="A79" s="65" t="s">
        <v>266</v>
      </c>
      <c r="B79" s="41" t="s">
        <v>63</v>
      </c>
      <c r="C79" s="29" t="s">
        <v>18</v>
      </c>
      <c r="D79" s="65" t="s">
        <v>110</v>
      </c>
      <c r="E79" s="65" t="s">
        <v>30</v>
      </c>
      <c r="F79" s="65" t="s">
        <v>33</v>
      </c>
      <c r="G79" s="32" t="s">
        <v>43</v>
      </c>
      <c r="H79" s="65" t="s">
        <v>114</v>
      </c>
      <c r="I79">
        <v>1</v>
      </c>
      <c r="J79" s="65" t="s">
        <v>49</v>
      </c>
      <c r="K79">
        <v>10959.84</v>
      </c>
      <c r="L79" s="1">
        <v>12213.63</v>
      </c>
      <c r="M79" s="1"/>
      <c r="N79" s="1">
        <v>2</v>
      </c>
      <c r="O79" s="1">
        <v>24427.26</v>
      </c>
      <c r="P79" s="56">
        <f>IFERROR((L79-Q79)/L79,0)</f>
        <v>0.10265498463601723</v>
      </c>
      <c r="Q79" s="2">
        <v>10959.84</v>
      </c>
      <c r="R79" s="1">
        <f t="shared" si="25"/>
        <v>21919.68</v>
      </c>
      <c r="S79" s="56">
        <f t="shared" ref="S79:S100" si="34">IFERROR((X79-Q79)/X79,0)</f>
        <v>0.10265498463601723</v>
      </c>
      <c r="T79" s="56">
        <f>IFERROR((X79-Q79)/Q79,0)</f>
        <v>0.11439856786230447</v>
      </c>
      <c r="U79" s="1">
        <f t="shared" si="28"/>
        <v>1253.7899999999991</v>
      </c>
      <c r="V79" s="1">
        <f t="shared" si="33"/>
        <v>2507.58</v>
      </c>
      <c r="W79" s="55">
        <v>0</v>
      </c>
      <c r="X79" s="1">
        <v>12213.63</v>
      </c>
      <c r="Y79" s="1">
        <v>24427.26</v>
      </c>
      <c r="Z79" s="65" t="s">
        <v>111</v>
      </c>
      <c r="AA79" s="83" t="s">
        <v>115</v>
      </c>
      <c r="AB79" s="65" t="s">
        <v>267</v>
      </c>
    </row>
    <row r="80" spans="1:28" ht="28.8" x14ac:dyDescent="0.3">
      <c r="A80" s="65"/>
      <c r="B80" s="41" t="s">
        <v>63</v>
      </c>
      <c r="C80" s="29" t="s">
        <v>18</v>
      </c>
      <c r="D80" s="65" t="s">
        <v>110</v>
      </c>
      <c r="E80" s="65" t="s">
        <v>30</v>
      </c>
      <c r="F80" s="65" t="s">
        <v>33</v>
      </c>
      <c r="G80" s="32" t="s">
        <v>43</v>
      </c>
      <c r="H80" s="65" t="s">
        <v>114</v>
      </c>
      <c r="I80">
        <v>1</v>
      </c>
      <c r="J80" s="65" t="s">
        <v>49</v>
      </c>
      <c r="K80">
        <v>0</v>
      </c>
      <c r="L80" s="1">
        <v>12213.63</v>
      </c>
      <c r="M80" s="1"/>
      <c r="N80" s="1">
        <v>2</v>
      </c>
      <c r="O80" s="1">
        <v>24427.26</v>
      </c>
      <c r="P80" s="56">
        <f>IFERROR((L80-Q80)/L80,0)</f>
        <v>1</v>
      </c>
      <c r="Q80" s="2">
        <v>0</v>
      </c>
      <c r="R80" s="1">
        <f t="shared" si="25"/>
        <v>0</v>
      </c>
      <c r="S80" s="56">
        <f t="shared" si="34"/>
        <v>1</v>
      </c>
      <c r="T80" s="56">
        <f>IFERROR((X80-Q80)/Q80,0)</f>
        <v>0</v>
      </c>
      <c r="U80" s="1">
        <f t="shared" si="28"/>
        <v>12213.63</v>
      </c>
      <c r="V80" s="1">
        <f t="shared" si="33"/>
        <v>24427.26</v>
      </c>
      <c r="W80" s="55">
        <v>0</v>
      </c>
      <c r="X80" s="1">
        <v>12213.63</v>
      </c>
      <c r="Y80" s="1">
        <v>24427.26</v>
      </c>
      <c r="Z80" s="65" t="s">
        <v>111</v>
      </c>
      <c r="AA80" s="83" t="s">
        <v>115</v>
      </c>
      <c r="AB80" s="65" t="s">
        <v>268</v>
      </c>
    </row>
    <row r="81" spans="1:28" ht="28.8" x14ac:dyDescent="0.3">
      <c r="A81" s="65"/>
      <c r="B81" s="41" t="s">
        <v>63</v>
      </c>
      <c r="C81" s="29" t="s">
        <v>18</v>
      </c>
      <c r="D81" s="65" t="s">
        <v>110</v>
      </c>
      <c r="E81" s="65" t="s">
        <v>30</v>
      </c>
      <c r="F81" s="65" t="s">
        <v>33</v>
      </c>
      <c r="G81" s="32" t="s">
        <v>43</v>
      </c>
      <c r="H81" s="65" t="s">
        <v>114</v>
      </c>
      <c r="I81">
        <v>1</v>
      </c>
      <c r="J81" s="65" t="s">
        <v>49</v>
      </c>
      <c r="K81">
        <v>-10959.84</v>
      </c>
      <c r="L81" s="1">
        <v>12213.63</v>
      </c>
      <c r="M81" s="1"/>
      <c r="N81" s="1">
        <v>2</v>
      </c>
      <c r="O81" s="1">
        <v>24427.26</v>
      </c>
      <c r="P81" s="56">
        <f>IFERROR((L81-Q81)/L81,0)</f>
        <v>1.8973450153639828</v>
      </c>
      <c r="Q81" s="2">
        <v>-10959.84</v>
      </c>
      <c r="R81" s="1">
        <f t="shared" si="25"/>
        <v>-21919.68</v>
      </c>
      <c r="S81" s="56">
        <f t="shared" si="34"/>
        <v>1.8973450153639828</v>
      </c>
      <c r="T81" s="56">
        <f>IFERROR((X81-Q81)/Q81,0)</f>
        <v>-2.1143985678623047</v>
      </c>
      <c r="U81" s="1">
        <f t="shared" si="28"/>
        <v>23173.47</v>
      </c>
      <c r="V81" s="1">
        <f t="shared" si="33"/>
        <v>46346.94</v>
      </c>
      <c r="W81" s="55">
        <v>0</v>
      </c>
      <c r="X81" s="1">
        <v>12213.63</v>
      </c>
      <c r="Y81" s="1">
        <v>24427.26</v>
      </c>
      <c r="Z81" s="65" t="s">
        <v>111</v>
      </c>
      <c r="AA81" s="83" t="s">
        <v>115</v>
      </c>
      <c r="AB81" s="65" t="s">
        <v>269</v>
      </c>
    </row>
    <row r="82" spans="1:28" ht="28.8" x14ac:dyDescent="0.3">
      <c r="A82" s="65"/>
      <c r="B82" s="41" t="s">
        <v>63</v>
      </c>
      <c r="C82" s="29" t="s">
        <v>18</v>
      </c>
      <c r="D82" s="65" t="s">
        <v>110</v>
      </c>
      <c r="E82" s="65" t="s">
        <v>30</v>
      </c>
      <c r="F82" s="65" t="s">
        <v>33</v>
      </c>
      <c r="G82" s="32" t="s">
        <v>43</v>
      </c>
      <c r="H82" s="65" t="s">
        <v>114</v>
      </c>
      <c r="I82">
        <v>1</v>
      </c>
      <c r="J82" s="65" t="s">
        <v>49</v>
      </c>
      <c r="K82" s="1">
        <v>24427.26</v>
      </c>
      <c r="L82" s="1">
        <v>12213.63</v>
      </c>
      <c r="M82" s="1"/>
      <c r="N82" s="1">
        <v>2</v>
      </c>
      <c r="O82" s="1">
        <v>24427.26</v>
      </c>
      <c r="P82" s="56">
        <f>IFERROR((L82-Q82)/L82,0)</f>
        <v>-1</v>
      </c>
      <c r="Q82" s="2">
        <v>24427.26</v>
      </c>
      <c r="R82" s="1">
        <f t="shared" si="25"/>
        <v>48854.52</v>
      </c>
      <c r="S82" s="56">
        <f t="shared" si="34"/>
        <v>-1</v>
      </c>
      <c r="T82" s="56">
        <f>IFERROR((X82-Q82)/Q82,0)</f>
        <v>-0.5</v>
      </c>
      <c r="U82" s="1">
        <f t="shared" si="28"/>
        <v>-12213.63</v>
      </c>
      <c r="V82" s="1">
        <f t="shared" si="33"/>
        <v>-24427.26</v>
      </c>
      <c r="W82" s="55">
        <v>0</v>
      </c>
      <c r="X82" s="1">
        <v>12213.63</v>
      </c>
      <c r="Y82" s="1">
        <v>24427.26</v>
      </c>
      <c r="Z82" s="65" t="s">
        <v>111</v>
      </c>
      <c r="AA82" s="83" t="s">
        <v>115</v>
      </c>
      <c r="AB82" s="65" t="s">
        <v>270</v>
      </c>
    </row>
    <row r="83" spans="1:28" ht="28.8" x14ac:dyDescent="0.3">
      <c r="A83" s="65" t="s">
        <v>271</v>
      </c>
      <c r="B83" s="41" t="s">
        <v>63</v>
      </c>
      <c r="C83" s="29" t="s">
        <v>18</v>
      </c>
      <c r="D83" s="65" t="s">
        <v>110</v>
      </c>
      <c r="E83" s="65" t="s">
        <v>30</v>
      </c>
      <c r="F83" s="65" t="s">
        <v>33</v>
      </c>
      <c r="G83" s="32" t="s">
        <v>43</v>
      </c>
      <c r="H83" s="65" t="s">
        <v>114</v>
      </c>
      <c r="I83">
        <v>1</v>
      </c>
      <c r="J83" s="65" t="s">
        <v>52</v>
      </c>
      <c r="K83">
        <v>5.7364889999999997</v>
      </c>
      <c r="L83" s="1">
        <v>12213.63</v>
      </c>
      <c r="M83" s="1"/>
      <c r="N83" s="1">
        <v>2</v>
      </c>
      <c r="O83" s="1">
        <v>24427.26</v>
      </c>
      <c r="P83" s="55">
        <v>0.01</v>
      </c>
      <c r="Q83" s="1">
        <v>12091.49</v>
      </c>
      <c r="R83" s="1">
        <v>24182.99</v>
      </c>
      <c r="S83" s="56">
        <f t="shared" si="34"/>
        <v>5.4252912761084834E-2</v>
      </c>
      <c r="T83" s="64">
        <v>5.7364890000000002E-2</v>
      </c>
      <c r="U83" s="1">
        <f t="shared" si="28"/>
        <v>693.63000000000102</v>
      </c>
      <c r="V83" s="1">
        <f t="shared" si="33"/>
        <v>1387.26</v>
      </c>
      <c r="W83" s="56">
        <f t="shared" ref="W83:W91" si="35">IFERROR((L83-X83)/L83,0)</f>
        <v>-4.6791166917615944E-2</v>
      </c>
      <c r="X83" s="1">
        <f t="shared" ref="X83:X87" si="36">IFERROR(ROUND(Q83*(1+T83), 2), 0)</f>
        <v>12785.12</v>
      </c>
      <c r="Y83" s="1">
        <f t="shared" ref="Y83:Y105" si="37">IFERROR(ROUND(X83*N83, 2), 0)</f>
        <v>25570.240000000002</v>
      </c>
      <c r="Z83" s="65" t="s">
        <v>111</v>
      </c>
      <c r="AA83" s="83" t="s">
        <v>115</v>
      </c>
      <c r="AB83" s="65" t="s">
        <v>272</v>
      </c>
    </row>
    <row r="84" spans="1:28" ht="28.8" x14ac:dyDescent="0.3">
      <c r="A84" s="65"/>
      <c r="B84" s="41" t="s">
        <v>63</v>
      </c>
      <c r="C84" s="29" t="s">
        <v>18</v>
      </c>
      <c r="D84" s="65" t="s">
        <v>110</v>
      </c>
      <c r="E84" s="65" t="s">
        <v>30</v>
      </c>
      <c r="F84" s="65" t="s">
        <v>33</v>
      </c>
      <c r="G84" s="32" t="s">
        <v>43</v>
      </c>
      <c r="H84" s="65" t="s">
        <v>114</v>
      </c>
      <c r="I84">
        <v>1</v>
      </c>
      <c r="J84" s="65" t="s">
        <v>52</v>
      </c>
      <c r="K84">
        <v>0</v>
      </c>
      <c r="L84" s="1">
        <v>12213.63</v>
      </c>
      <c r="M84" s="1"/>
      <c r="N84" s="1">
        <v>2</v>
      </c>
      <c r="O84" s="1">
        <v>24427.26</v>
      </c>
      <c r="P84" s="55">
        <v>0.01</v>
      </c>
      <c r="Q84" s="1">
        <v>12091.49</v>
      </c>
      <c r="R84" s="1">
        <v>24182.99</v>
      </c>
      <c r="S84" s="56">
        <f t="shared" si="34"/>
        <v>0</v>
      </c>
      <c r="T84" s="64">
        <v>0</v>
      </c>
      <c r="U84" s="1">
        <f t="shared" si="28"/>
        <v>0</v>
      </c>
      <c r="V84" s="1">
        <f t="shared" si="33"/>
        <v>0</v>
      </c>
      <c r="W84" s="56">
        <f t="shared" si="35"/>
        <v>1.0000302940239668E-2</v>
      </c>
      <c r="X84" s="1">
        <f t="shared" si="36"/>
        <v>12091.49</v>
      </c>
      <c r="Y84" s="1">
        <f t="shared" si="37"/>
        <v>24182.98</v>
      </c>
      <c r="Z84" s="65" t="s">
        <v>111</v>
      </c>
      <c r="AA84" s="83" t="s">
        <v>115</v>
      </c>
      <c r="AB84" s="65" t="s">
        <v>273</v>
      </c>
    </row>
    <row r="85" spans="1:28" ht="28.8" x14ac:dyDescent="0.3">
      <c r="A85" s="65"/>
      <c r="B85" s="41" t="s">
        <v>63</v>
      </c>
      <c r="C85" s="29" t="s">
        <v>18</v>
      </c>
      <c r="D85" s="65" t="s">
        <v>110</v>
      </c>
      <c r="E85" s="65" t="s">
        <v>30</v>
      </c>
      <c r="F85" s="65" t="s">
        <v>33</v>
      </c>
      <c r="G85" s="32" t="s">
        <v>43</v>
      </c>
      <c r="H85" s="65" t="s">
        <v>114</v>
      </c>
      <c r="I85">
        <v>1</v>
      </c>
      <c r="J85" s="65" t="s">
        <v>52</v>
      </c>
      <c r="K85">
        <v>-5.7364889999999997</v>
      </c>
      <c r="L85" s="1">
        <v>12213.63</v>
      </c>
      <c r="M85" s="1"/>
      <c r="N85" s="1">
        <v>2</v>
      </c>
      <c r="O85" s="1">
        <v>24427.26</v>
      </c>
      <c r="P85" s="55">
        <v>0.01</v>
      </c>
      <c r="Q85" s="1">
        <v>12091.49</v>
      </c>
      <c r="R85" s="1">
        <v>24182.99</v>
      </c>
      <c r="S85" s="56">
        <f t="shared" si="34"/>
        <v>-6.0856160717889074E-2</v>
      </c>
      <c r="T85" s="64">
        <v>-5.7364890000000002E-2</v>
      </c>
      <c r="U85" s="1">
        <f t="shared" si="28"/>
        <v>-693.6299999999992</v>
      </c>
      <c r="V85" s="1">
        <f t="shared" si="33"/>
        <v>-1387.26</v>
      </c>
      <c r="W85" s="56">
        <f t="shared" si="35"/>
        <v>6.6791772798095131E-2</v>
      </c>
      <c r="X85" s="1">
        <f t="shared" si="36"/>
        <v>11397.86</v>
      </c>
      <c r="Y85" s="1">
        <f t="shared" si="37"/>
        <v>22795.72</v>
      </c>
      <c r="Z85" s="65" t="s">
        <v>111</v>
      </c>
      <c r="AA85" s="83" t="s">
        <v>115</v>
      </c>
      <c r="AB85" s="65" t="s">
        <v>274</v>
      </c>
    </row>
    <row r="86" spans="1:28" ht="28.8" x14ac:dyDescent="0.3">
      <c r="A86" s="65"/>
      <c r="B86" s="41" t="s">
        <v>63</v>
      </c>
      <c r="C86" s="29" t="s">
        <v>18</v>
      </c>
      <c r="D86" s="65" t="s">
        <v>110</v>
      </c>
      <c r="E86" s="65" t="s">
        <v>30</v>
      </c>
      <c r="F86" s="65" t="s">
        <v>33</v>
      </c>
      <c r="G86" s="32" t="s">
        <v>43</v>
      </c>
      <c r="H86" s="65" t="s">
        <v>114</v>
      </c>
      <c r="I86">
        <v>1</v>
      </c>
      <c r="J86" s="65" t="s">
        <v>52</v>
      </c>
      <c r="K86">
        <v>200</v>
      </c>
      <c r="L86" s="1">
        <v>12213.63</v>
      </c>
      <c r="M86" s="1"/>
      <c r="N86" s="1">
        <v>2</v>
      </c>
      <c r="O86" s="1">
        <v>24427.26</v>
      </c>
      <c r="P86" s="55">
        <v>0.01</v>
      </c>
      <c r="Q86" s="1">
        <v>12091.49</v>
      </c>
      <c r="R86" s="1">
        <v>24182.99</v>
      </c>
      <c r="S86" s="56">
        <f t="shared" si="34"/>
        <v>0.66666666666666674</v>
      </c>
      <c r="T86" s="64">
        <v>2</v>
      </c>
      <c r="U86" s="1">
        <f t="shared" si="28"/>
        <v>24182.980000000003</v>
      </c>
      <c r="V86" s="1">
        <f t="shared" si="33"/>
        <v>48365.96</v>
      </c>
      <c r="W86" s="56">
        <f t="shared" si="35"/>
        <v>-1.9699990911792813</v>
      </c>
      <c r="X86" s="1">
        <f t="shared" si="36"/>
        <v>36274.47</v>
      </c>
      <c r="Y86" s="1">
        <f t="shared" si="37"/>
        <v>72548.94</v>
      </c>
      <c r="Z86" s="65" t="s">
        <v>111</v>
      </c>
      <c r="AA86" s="83" t="s">
        <v>115</v>
      </c>
      <c r="AB86" s="65" t="s">
        <v>275</v>
      </c>
    </row>
    <row r="87" spans="1:28" ht="28.8" x14ac:dyDescent="0.3">
      <c r="A87" s="65"/>
      <c r="B87" s="41" t="s">
        <v>63</v>
      </c>
      <c r="C87" s="29" t="s">
        <v>18</v>
      </c>
      <c r="D87" s="65" t="s">
        <v>110</v>
      </c>
      <c r="E87" s="65" t="s">
        <v>30</v>
      </c>
      <c r="F87" s="65" t="s">
        <v>33</v>
      </c>
      <c r="G87" s="32" t="s">
        <v>43</v>
      </c>
      <c r="H87" s="65" t="s">
        <v>114</v>
      </c>
      <c r="I87">
        <v>1</v>
      </c>
      <c r="J87" s="65" t="s">
        <v>52</v>
      </c>
      <c r="K87">
        <v>100</v>
      </c>
      <c r="L87" s="1">
        <v>12213.63</v>
      </c>
      <c r="M87" s="1"/>
      <c r="N87" s="1">
        <v>2</v>
      </c>
      <c r="O87" s="1">
        <v>24427.26</v>
      </c>
      <c r="P87" s="55">
        <v>0.01</v>
      </c>
      <c r="Q87" s="1">
        <v>12091.49</v>
      </c>
      <c r="R87" s="1">
        <v>24182.99</v>
      </c>
      <c r="S87" s="56">
        <f t="shared" si="34"/>
        <v>0.5</v>
      </c>
      <c r="T87" s="64">
        <v>1</v>
      </c>
      <c r="U87" s="1">
        <f t="shared" si="28"/>
        <v>12091.49</v>
      </c>
      <c r="V87" s="1">
        <f t="shared" si="33"/>
        <v>24182.98</v>
      </c>
      <c r="W87" s="56">
        <f t="shared" si="35"/>
        <v>-0.97999939411952064</v>
      </c>
      <c r="X87" s="1">
        <f t="shared" si="36"/>
        <v>24182.98</v>
      </c>
      <c r="Y87" s="1">
        <f t="shared" si="37"/>
        <v>48365.96</v>
      </c>
      <c r="Z87" s="65" t="s">
        <v>111</v>
      </c>
      <c r="AA87" s="83" t="s">
        <v>115</v>
      </c>
      <c r="AB87" s="65" t="s">
        <v>276</v>
      </c>
    </row>
    <row r="88" spans="1:28" ht="28.8" x14ac:dyDescent="0.3">
      <c r="A88" s="65" t="s">
        <v>277</v>
      </c>
      <c r="B88" s="41" t="s">
        <v>63</v>
      </c>
      <c r="C88" s="29" t="s">
        <v>18</v>
      </c>
      <c r="D88" s="65" t="s">
        <v>235</v>
      </c>
      <c r="E88" s="65" t="s">
        <v>30</v>
      </c>
      <c r="F88" s="65" t="s">
        <v>33</v>
      </c>
      <c r="G88" s="32" t="s">
        <v>43</v>
      </c>
      <c r="H88" s="65" t="s">
        <v>238</v>
      </c>
      <c r="I88">
        <v>1</v>
      </c>
      <c r="J88" s="65" t="s">
        <v>53</v>
      </c>
      <c r="K88">
        <v>16575.96</v>
      </c>
      <c r="L88" s="1">
        <v>189270</v>
      </c>
      <c r="M88" s="1"/>
      <c r="N88" s="1">
        <v>2</v>
      </c>
      <c r="O88" s="1">
        <v>378540</v>
      </c>
      <c r="P88" s="55">
        <v>0.31999999999999901</v>
      </c>
      <c r="Q88" s="1">
        <v>128703.6</v>
      </c>
      <c r="R88" s="1">
        <v>257407.2</v>
      </c>
      <c r="S88" s="56">
        <f t="shared" si="34"/>
        <v>0.11409698652721685</v>
      </c>
      <c r="T88" s="56">
        <f t="shared" ref="T88:T114" si="38">IFERROR((X88-Q88)/Q88,0)</f>
        <v>0.12879173542931194</v>
      </c>
      <c r="U88" s="2">
        <v>16575.96</v>
      </c>
      <c r="V88" s="1">
        <f t="shared" si="33"/>
        <v>33151.919999999998</v>
      </c>
      <c r="W88" s="56">
        <f t="shared" si="35"/>
        <v>0.23242161990806784</v>
      </c>
      <c r="X88" s="61">
        <f t="shared" ref="X88:X91" si="39">IFERROR(ROUND(Q88+U88,2),0)</f>
        <v>145279.56</v>
      </c>
      <c r="Y88" s="1">
        <f t="shared" si="37"/>
        <v>290559.12</v>
      </c>
      <c r="Z88" s="65" t="s">
        <v>236</v>
      </c>
      <c r="AA88" s="83" t="s">
        <v>239</v>
      </c>
      <c r="AB88" s="65" t="s">
        <v>278</v>
      </c>
    </row>
    <row r="89" spans="1:28" ht="28.8" x14ac:dyDescent="0.3">
      <c r="A89" s="65"/>
      <c r="B89" s="41" t="s">
        <v>63</v>
      </c>
      <c r="C89" s="29" t="s">
        <v>18</v>
      </c>
      <c r="D89" s="65" t="s">
        <v>235</v>
      </c>
      <c r="E89" s="65" t="s">
        <v>30</v>
      </c>
      <c r="F89" s="65" t="s">
        <v>33</v>
      </c>
      <c r="G89" s="32" t="s">
        <v>43</v>
      </c>
      <c r="H89" s="65" t="s">
        <v>238</v>
      </c>
      <c r="I89">
        <v>1</v>
      </c>
      <c r="J89" s="65" t="s">
        <v>53</v>
      </c>
      <c r="K89">
        <v>0</v>
      </c>
      <c r="L89" s="1">
        <v>189270</v>
      </c>
      <c r="M89" s="1"/>
      <c r="N89" s="1">
        <v>2</v>
      </c>
      <c r="O89" s="1">
        <v>378540</v>
      </c>
      <c r="P89" s="55">
        <v>0.31999999999999901</v>
      </c>
      <c r="Q89" s="1">
        <v>128703.6</v>
      </c>
      <c r="R89" s="1">
        <v>257407.2</v>
      </c>
      <c r="S89" s="56">
        <f t="shared" si="34"/>
        <v>0</v>
      </c>
      <c r="T89" s="56">
        <f t="shared" si="38"/>
        <v>0</v>
      </c>
      <c r="U89" s="2">
        <v>0</v>
      </c>
      <c r="V89" s="1">
        <f t="shared" si="33"/>
        <v>0</v>
      </c>
      <c r="W89" s="56">
        <f t="shared" si="35"/>
        <v>0.31999999999999995</v>
      </c>
      <c r="X89" s="61">
        <f t="shared" si="39"/>
        <v>128703.6</v>
      </c>
      <c r="Y89" s="1">
        <f t="shared" si="37"/>
        <v>257407.2</v>
      </c>
      <c r="Z89" s="65" t="s">
        <v>236</v>
      </c>
      <c r="AA89" s="83" t="s">
        <v>239</v>
      </c>
      <c r="AB89" s="65" t="s">
        <v>279</v>
      </c>
    </row>
    <row r="90" spans="1:28" ht="28.8" x14ac:dyDescent="0.3">
      <c r="A90" s="65"/>
      <c r="B90" s="41" t="s">
        <v>63</v>
      </c>
      <c r="C90" s="29" t="s">
        <v>18</v>
      </c>
      <c r="D90" s="65" t="s">
        <v>235</v>
      </c>
      <c r="E90" s="65" t="s">
        <v>30</v>
      </c>
      <c r="F90" s="65" t="s">
        <v>33</v>
      </c>
      <c r="G90" s="32" t="s">
        <v>43</v>
      </c>
      <c r="H90" s="65" t="s">
        <v>238</v>
      </c>
      <c r="I90">
        <v>1</v>
      </c>
      <c r="J90" s="65" t="s">
        <v>53</v>
      </c>
      <c r="K90">
        <v>-16575.96</v>
      </c>
      <c r="L90" s="1">
        <v>189270</v>
      </c>
      <c r="M90" s="1"/>
      <c r="N90" s="1">
        <v>2</v>
      </c>
      <c r="O90" s="1">
        <v>378540</v>
      </c>
      <c r="P90" s="55">
        <v>0.31999999999999901</v>
      </c>
      <c r="Q90" s="1">
        <v>128703.6</v>
      </c>
      <c r="R90" s="1">
        <v>257407.2</v>
      </c>
      <c r="S90" s="56">
        <f t="shared" si="34"/>
        <v>-0.14783116812232922</v>
      </c>
      <c r="T90" s="56">
        <f t="shared" si="38"/>
        <v>-0.12879173542931205</v>
      </c>
      <c r="U90" s="2">
        <v>-16575.96</v>
      </c>
      <c r="V90" s="1">
        <f t="shared" si="33"/>
        <v>-33151.919999999998</v>
      </c>
      <c r="W90" s="56">
        <f t="shared" si="35"/>
        <v>0.40757838009193215</v>
      </c>
      <c r="X90" s="61">
        <f t="shared" si="39"/>
        <v>112127.64</v>
      </c>
      <c r="Y90" s="1">
        <f t="shared" si="37"/>
        <v>224255.28</v>
      </c>
      <c r="Z90" s="65" t="s">
        <v>236</v>
      </c>
      <c r="AA90" s="83" t="s">
        <v>239</v>
      </c>
      <c r="AB90" s="65" t="s">
        <v>280</v>
      </c>
    </row>
    <row r="91" spans="1:28" ht="28.8" x14ac:dyDescent="0.3">
      <c r="A91" s="65"/>
      <c r="B91" s="41" t="s">
        <v>63</v>
      </c>
      <c r="C91" s="29" t="s">
        <v>18</v>
      </c>
      <c r="D91" s="65" t="s">
        <v>235</v>
      </c>
      <c r="E91" s="65" t="s">
        <v>30</v>
      </c>
      <c r="F91" s="65" t="s">
        <v>33</v>
      </c>
      <c r="G91" s="32" t="s">
        <v>43</v>
      </c>
      <c r="H91" s="65" t="s">
        <v>238</v>
      </c>
      <c r="I91">
        <v>1</v>
      </c>
      <c r="J91" s="65" t="s">
        <v>53</v>
      </c>
      <c r="K91" s="1">
        <v>24427.26</v>
      </c>
      <c r="L91" s="1">
        <v>189270</v>
      </c>
      <c r="M91" s="1"/>
      <c r="N91" s="1">
        <v>2</v>
      </c>
      <c r="O91" s="1">
        <v>378540</v>
      </c>
      <c r="P91" s="55">
        <v>0.31999999999999901</v>
      </c>
      <c r="Q91" s="1">
        <v>128703.6</v>
      </c>
      <c r="R91" s="1">
        <v>257407.2</v>
      </c>
      <c r="S91" s="56">
        <f t="shared" si="34"/>
        <v>0.74626865671641796</v>
      </c>
      <c r="T91" s="56">
        <f t="shared" si="38"/>
        <v>2.9411764705882351</v>
      </c>
      <c r="U91" s="2">
        <v>378540</v>
      </c>
      <c r="V91" s="1">
        <f t="shared" si="33"/>
        <v>757080</v>
      </c>
      <c r="W91" s="56">
        <f t="shared" si="35"/>
        <v>-1.68</v>
      </c>
      <c r="X91" s="61">
        <f t="shared" si="39"/>
        <v>507243.6</v>
      </c>
      <c r="Y91" s="1">
        <f t="shared" si="37"/>
        <v>1014487.2</v>
      </c>
      <c r="Z91" s="65" t="s">
        <v>236</v>
      </c>
      <c r="AA91" s="83" t="s">
        <v>239</v>
      </c>
      <c r="AB91" s="65" t="s">
        <v>281</v>
      </c>
    </row>
    <row r="92" spans="1:28" ht="28.8" x14ac:dyDescent="0.3">
      <c r="A92" s="65" t="s">
        <v>282</v>
      </c>
      <c r="B92" s="41" t="s">
        <v>63</v>
      </c>
      <c r="C92" s="29" t="s">
        <v>18</v>
      </c>
      <c r="D92" t="s">
        <v>130</v>
      </c>
      <c r="E92" s="65" t="s">
        <v>30</v>
      </c>
      <c r="F92" s="65" t="s">
        <v>33</v>
      </c>
      <c r="G92" s="32" t="s">
        <v>43</v>
      </c>
      <c r="H92" s="65" t="s">
        <v>133</v>
      </c>
      <c r="I92">
        <v>1</v>
      </c>
      <c r="J92" t="s">
        <v>55</v>
      </c>
      <c r="K92">
        <v>36.89</v>
      </c>
      <c r="L92" s="1">
        <v>70</v>
      </c>
      <c r="M92" s="1">
        <v>36</v>
      </c>
      <c r="N92" s="1">
        <v>72</v>
      </c>
      <c r="O92" s="1">
        <v>181440</v>
      </c>
      <c r="P92" s="68">
        <v>0.59</v>
      </c>
      <c r="Q92" s="1">
        <v>1033.2</v>
      </c>
      <c r="R92" s="1">
        <v>74390.399999999994</v>
      </c>
      <c r="S92" s="56">
        <f t="shared" si="34"/>
        <v>0.35033985802046058</v>
      </c>
      <c r="T92" s="56">
        <f t="shared" si="38"/>
        <v>0.5392663569492836</v>
      </c>
      <c r="U92" s="1">
        <f t="shared" si="28"/>
        <v>557.16999999999985</v>
      </c>
      <c r="V92" s="1">
        <f t="shared" si="33"/>
        <v>40116.239999999998</v>
      </c>
      <c r="W92" s="63">
        <v>0.36890000000000001</v>
      </c>
      <c r="X92" s="1">
        <f>IFERROR(ROUND(M92*L92*(1-W92), 2), 0)</f>
        <v>1590.37</v>
      </c>
      <c r="Y92" s="1">
        <f t="shared" si="37"/>
        <v>114506.64</v>
      </c>
      <c r="Z92" t="s">
        <v>131</v>
      </c>
      <c r="AA92" s="83" t="s">
        <v>134</v>
      </c>
      <c r="AB92" s="65" t="s">
        <v>283</v>
      </c>
    </row>
    <row r="93" spans="1:28" ht="28.8" x14ac:dyDescent="0.3">
      <c r="A93" s="65"/>
      <c r="B93" s="41" t="s">
        <v>63</v>
      </c>
      <c r="C93" s="29" t="s">
        <v>18</v>
      </c>
      <c r="D93" t="s">
        <v>130</v>
      </c>
      <c r="E93" s="65" t="s">
        <v>30</v>
      </c>
      <c r="F93" s="65" t="s">
        <v>33</v>
      </c>
      <c r="G93" s="32" t="s">
        <v>43</v>
      </c>
      <c r="H93" s="65" t="s">
        <v>133</v>
      </c>
      <c r="I93">
        <v>1</v>
      </c>
      <c r="J93" t="s">
        <v>55</v>
      </c>
      <c r="K93">
        <v>36.89</v>
      </c>
      <c r="L93" s="1">
        <v>70</v>
      </c>
      <c r="M93" s="1">
        <v>36</v>
      </c>
      <c r="N93" s="1">
        <v>72</v>
      </c>
      <c r="O93" s="1">
        <v>181440</v>
      </c>
      <c r="P93" s="68">
        <v>0.59</v>
      </c>
      <c r="Q93" s="1">
        <v>1033.2</v>
      </c>
      <c r="R93" s="1">
        <v>74390.399999999994</v>
      </c>
      <c r="S93" s="56">
        <f t="shared" si="34"/>
        <v>0.59</v>
      </c>
      <c r="T93" s="56">
        <f t="shared" si="38"/>
        <v>1.4390243902439024</v>
      </c>
      <c r="U93" s="1">
        <f t="shared" si="28"/>
        <v>1486.8</v>
      </c>
      <c r="V93" s="1">
        <f t="shared" si="33"/>
        <v>107049.60000000001</v>
      </c>
      <c r="W93" s="63">
        <v>0</v>
      </c>
      <c r="X93" s="1">
        <f>IFERROR(ROUND(M93*L93*(1-W93), 2), 0)</f>
        <v>2520</v>
      </c>
      <c r="Y93" s="1">
        <f t="shared" si="37"/>
        <v>181440</v>
      </c>
      <c r="Z93" t="s">
        <v>131</v>
      </c>
      <c r="AA93" s="83" t="s">
        <v>134</v>
      </c>
      <c r="AB93" s="65" t="s">
        <v>284</v>
      </c>
    </row>
    <row r="94" spans="1:28" ht="28.8" x14ac:dyDescent="0.3">
      <c r="A94" s="65"/>
      <c r="B94" s="41" t="s">
        <v>63</v>
      </c>
      <c r="C94" s="29" t="s">
        <v>18</v>
      </c>
      <c r="D94" t="s">
        <v>130</v>
      </c>
      <c r="E94" s="65" t="s">
        <v>30</v>
      </c>
      <c r="F94" s="65" t="s">
        <v>33</v>
      </c>
      <c r="G94" s="32" t="s">
        <v>43</v>
      </c>
      <c r="H94" s="65" t="s">
        <v>133</v>
      </c>
      <c r="I94">
        <v>1</v>
      </c>
      <c r="J94" t="s">
        <v>55</v>
      </c>
      <c r="K94">
        <v>36.89</v>
      </c>
      <c r="L94" s="1">
        <v>70</v>
      </c>
      <c r="M94" s="1">
        <v>36</v>
      </c>
      <c r="N94" s="1">
        <v>72</v>
      </c>
      <c r="O94" s="1">
        <v>181440</v>
      </c>
      <c r="P94" s="68">
        <v>0.59</v>
      </c>
      <c r="Q94" s="1">
        <v>1033.2</v>
      </c>
      <c r="R94" s="1">
        <v>74390.399999999994</v>
      </c>
      <c r="S94" s="56">
        <f t="shared" si="34"/>
        <v>0.7004896177271186</v>
      </c>
      <c r="T94" s="56">
        <f t="shared" si="38"/>
        <v>2.3387824235385213</v>
      </c>
      <c r="U94" s="1">
        <f t="shared" si="28"/>
        <v>2416.4300000000003</v>
      </c>
      <c r="V94" s="1">
        <f t="shared" si="33"/>
        <v>173982.96</v>
      </c>
      <c r="W94" s="63">
        <v>-0.36890000000000001</v>
      </c>
      <c r="X94" s="1">
        <f>IFERROR(ROUND(M94*L94*(1-W94), 2), 0)</f>
        <v>3449.63</v>
      </c>
      <c r="Y94" s="1">
        <f t="shared" si="37"/>
        <v>248373.36</v>
      </c>
      <c r="Z94" t="s">
        <v>131</v>
      </c>
      <c r="AA94" s="83" t="s">
        <v>134</v>
      </c>
      <c r="AB94" s="65" t="s">
        <v>285</v>
      </c>
    </row>
    <row r="95" spans="1:28" ht="28.8" x14ac:dyDescent="0.3">
      <c r="A95" s="65"/>
      <c r="B95" s="41" t="s">
        <v>63</v>
      </c>
      <c r="C95" s="29" t="s">
        <v>18</v>
      </c>
      <c r="D95" t="s">
        <v>130</v>
      </c>
      <c r="E95" s="65" t="s">
        <v>30</v>
      </c>
      <c r="F95" s="65" t="s">
        <v>33</v>
      </c>
      <c r="G95" s="32" t="s">
        <v>43</v>
      </c>
      <c r="H95" s="65" t="s">
        <v>133</v>
      </c>
      <c r="I95">
        <v>1</v>
      </c>
      <c r="J95" t="s">
        <v>55</v>
      </c>
      <c r="K95">
        <v>36.89</v>
      </c>
      <c r="L95" s="1">
        <v>70</v>
      </c>
      <c r="M95" s="1">
        <v>36</v>
      </c>
      <c r="N95" s="1">
        <v>72</v>
      </c>
      <c r="O95" s="1">
        <v>181440</v>
      </c>
      <c r="P95" s="68">
        <v>0.59</v>
      </c>
      <c r="Q95" s="1">
        <v>1033.2</v>
      </c>
      <c r="R95" s="1">
        <v>74390.399999999994</v>
      </c>
      <c r="S95" s="56">
        <f t="shared" si="34"/>
        <v>1.41</v>
      </c>
      <c r="T95" s="56">
        <f t="shared" si="38"/>
        <v>-3.4390243902439019</v>
      </c>
      <c r="U95" s="1">
        <f t="shared" si="28"/>
        <v>-3553.2</v>
      </c>
      <c r="V95" s="1">
        <f t="shared" si="33"/>
        <v>-255830.39999999999</v>
      </c>
      <c r="W95" s="63">
        <v>2</v>
      </c>
      <c r="X95" s="1">
        <f>IFERROR(ROUND(M95*L95*(1-W95), 2), 0)</f>
        <v>-2520</v>
      </c>
      <c r="Y95" s="1">
        <f t="shared" si="37"/>
        <v>-181440</v>
      </c>
      <c r="Z95" t="s">
        <v>131</v>
      </c>
      <c r="AA95" s="83" t="s">
        <v>134</v>
      </c>
      <c r="AB95" s="65" t="s">
        <v>286</v>
      </c>
    </row>
    <row r="96" spans="1:28" ht="28.8" x14ac:dyDescent="0.3">
      <c r="A96" s="65"/>
      <c r="B96" s="41" t="s">
        <v>63</v>
      </c>
      <c r="C96" s="29" t="s">
        <v>18</v>
      </c>
      <c r="D96" t="s">
        <v>130</v>
      </c>
      <c r="E96" s="65" t="s">
        <v>30</v>
      </c>
      <c r="F96" s="65" t="s">
        <v>33</v>
      </c>
      <c r="G96" s="32" t="s">
        <v>43</v>
      </c>
      <c r="H96" s="65" t="s">
        <v>133</v>
      </c>
      <c r="I96">
        <v>1</v>
      </c>
      <c r="J96" t="s">
        <v>55</v>
      </c>
      <c r="K96">
        <v>36.89</v>
      </c>
      <c r="L96" s="1">
        <v>70</v>
      </c>
      <c r="M96" s="1">
        <v>36</v>
      </c>
      <c r="N96" s="1">
        <v>72</v>
      </c>
      <c r="O96" s="1">
        <v>181440</v>
      </c>
      <c r="P96" s="68">
        <v>0.59</v>
      </c>
      <c r="Q96" s="1">
        <v>1033.2</v>
      </c>
      <c r="R96" s="1">
        <v>74390.399999999994</v>
      </c>
      <c r="S96" s="56">
        <f t="shared" si="34"/>
        <v>0</v>
      </c>
      <c r="T96" s="56">
        <f t="shared" si="38"/>
        <v>-1</v>
      </c>
      <c r="U96" s="1">
        <f t="shared" si="28"/>
        <v>-1033.2</v>
      </c>
      <c r="V96" s="1">
        <f t="shared" si="33"/>
        <v>-74390.399999999994</v>
      </c>
      <c r="W96" s="63">
        <v>1</v>
      </c>
      <c r="X96" s="1">
        <f>IFERROR(ROUND(M96*L96*(1-W96), 2), 0)</f>
        <v>0</v>
      </c>
      <c r="Y96" s="1">
        <f t="shared" si="37"/>
        <v>0</v>
      </c>
      <c r="Z96" t="s">
        <v>131</v>
      </c>
      <c r="AA96" s="83" t="s">
        <v>134</v>
      </c>
      <c r="AB96" s="65" t="s">
        <v>287</v>
      </c>
    </row>
    <row r="97" spans="1:28" ht="28.8" x14ac:dyDescent="0.3">
      <c r="A97" s="65" t="s">
        <v>288</v>
      </c>
      <c r="B97" s="41" t="s">
        <v>63</v>
      </c>
      <c r="C97" s="29" t="s">
        <v>18</v>
      </c>
      <c r="D97" s="65" t="s">
        <v>110</v>
      </c>
      <c r="E97" s="65" t="s">
        <v>30</v>
      </c>
      <c r="F97" s="65" t="s">
        <v>33</v>
      </c>
      <c r="G97" s="32" t="s">
        <v>43</v>
      </c>
      <c r="H97" s="65" t="s">
        <v>192</v>
      </c>
      <c r="I97" s="65">
        <v>1</v>
      </c>
      <c r="J97" s="65" t="s">
        <v>56</v>
      </c>
      <c r="K97" s="65">
        <v>60851.25</v>
      </c>
      <c r="L97" s="57">
        <v>69846.12</v>
      </c>
      <c r="M97" s="58">
        <v>36</v>
      </c>
      <c r="N97" s="57">
        <v>2</v>
      </c>
      <c r="O97" s="66">
        <v>139692.24</v>
      </c>
      <c r="P97" s="67">
        <v>0.4</v>
      </c>
      <c r="Q97" s="58">
        <v>41907.599999999999</v>
      </c>
      <c r="R97" s="66">
        <v>83815.199999999997</v>
      </c>
      <c r="S97" s="56">
        <f t="shared" si="34"/>
        <v>0.311310778332409</v>
      </c>
      <c r="T97" s="56">
        <f t="shared" si="38"/>
        <v>0.4520337599862555</v>
      </c>
      <c r="U97" s="1">
        <f t="shared" si="28"/>
        <v>18943.650000000001</v>
      </c>
      <c r="V97" s="1">
        <f t="shared" si="33"/>
        <v>37887.300000000003</v>
      </c>
      <c r="W97" s="56">
        <f>IFERROR((L97-X97)/L97,0)</f>
        <v>0.12878124081910342</v>
      </c>
      <c r="X97" s="2">
        <v>60851.25</v>
      </c>
      <c r="Y97" s="1">
        <f t="shared" si="37"/>
        <v>121702.5</v>
      </c>
      <c r="Z97" s="65" t="s">
        <v>111</v>
      </c>
      <c r="AA97" s="83" t="s">
        <v>61</v>
      </c>
      <c r="AB97" s="65" t="s">
        <v>289</v>
      </c>
    </row>
    <row r="98" spans="1:28" ht="28.8" x14ac:dyDescent="0.3">
      <c r="A98" s="65"/>
      <c r="B98" s="41" t="s">
        <v>63</v>
      </c>
      <c r="C98" s="29" t="s">
        <v>18</v>
      </c>
      <c r="D98" s="65" t="s">
        <v>110</v>
      </c>
      <c r="E98" s="65" t="s">
        <v>30</v>
      </c>
      <c r="F98" s="65" t="s">
        <v>33</v>
      </c>
      <c r="G98" s="32" t="s">
        <v>43</v>
      </c>
      <c r="H98" s="65" t="s">
        <v>192</v>
      </c>
      <c r="I98" s="65">
        <v>1</v>
      </c>
      <c r="J98" s="65" t="s">
        <v>56</v>
      </c>
      <c r="K98" s="65">
        <v>60851.25</v>
      </c>
      <c r="L98" s="57">
        <v>69846.12</v>
      </c>
      <c r="M98" s="58">
        <v>36</v>
      </c>
      <c r="N98" s="57">
        <v>2</v>
      </c>
      <c r="O98" s="66">
        <v>139692.24</v>
      </c>
      <c r="P98" s="67">
        <v>0.4</v>
      </c>
      <c r="Q98" s="58">
        <v>41907.599999999999</v>
      </c>
      <c r="R98" s="66">
        <v>83815.199999999997</v>
      </c>
      <c r="S98" s="56">
        <f t="shared" si="34"/>
        <v>0</v>
      </c>
      <c r="T98" s="56">
        <f t="shared" si="38"/>
        <v>-1</v>
      </c>
      <c r="U98" s="1">
        <f t="shared" si="28"/>
        <v>-41907.599999999999</v>
      </c>
      <c r="V98" s="1">
        <f t="shared" si="33"/>
        <v>-83815.199999999997</v>
      </c>
      <c r="W98" s="56">
        <f>IFERROR((L98-X98)/L98,0)</f>
        <v>1</v>
      </c>
      <c r="X98" s="2">
        <v>0</v>
      </c>
      <c r="Y98" s="1">
        <f t="shared" si="37"/>
        <v>0</v>
      </c>
      <c r="Z98" s="65" t="s">
        <v>111</v>
      </c>
      <c r="AA98" s="83" t="s">
        <v>61</v>
      </c>
      <c r="AB98" s="65" t="s">
        <v>290</v>
      </c>
    </row>
    <row r="99" spans="1:28" ht="28.8" x14ac:dyDescent="0.3">
      <c r="A99" s="65"/>
      <c r="B99" s="41" t="s">
        <v>63</v>
      </c>
      <c r="C99" s="29" t="s">
        <v>18</v>
      </c>
      <c r="D99" s="65" t="s">
        <v>110</v>
      </c>
      <c r="E99" s="65" t="s">
        <v>30</v>
      </c>
      <c r="F99" s="65" t="s">
        <v>33</v>
      </c>
      <c r="G99" s="32" t="s">
        <v>43</v>
      </c>
      <c r="H99" s="65" t="s">
        <v>192</v>
      </c>
      <c r="I99" s="65">
        <v>1</v>
      </c>
      <c r="J99" s="65" t="s">
        <v>56</v>
      </c>
      <c r="K99" s="65">
        <v>60851.25</v>
      </c>
      <c r="L99" s="57">
        <v>69846.12</v>
      </c>
      <c r="M99" s="58">
        <v>36</v>
      </c>
      <c r="N99" s="57">
        <v>2</v>
      </c>
      <c r="O99" s="66">
        <v>139692.24</v>
      </c>
      <c r="P99" s="67">
        <v>0.4</v>
      </c>
      <c r="Q99" s="58">
        <v>41907.599999999999</v>
      </c>
      <c r="R99" s="66">
        <v>83815.199999999997</v>
      </c>
      <c r="S99" s="56">
        <f t="shared" si="34"/>
        <v>1.6886892216675911</v>
      </c>
      <c r="T99" s="56">
        <f t="shared" si="38"/>
        <v>-2.4520337599862558</v>
      </c>
      <c r="U99" s="1">
        <f t="shared" si="28"/>
        <v>-102758.85</v>
      </c>
      <c r="V99" s="1">
        <f t="shared" si="33"/>
        <v>-205517.7</v>
      </c>
      <c r="W99" s="56">
        <f>IFERROR((L99-X99)/L99,0)</f>
        <v>1.8712187591808966</v>
      </c>
      <c r="X99" s="2">
        <v>-60851.25</v>
      </c>
      <c r="Y99" s="1">
        <f t="shared" si="37"/>
        <v>-121702.5</v>
      </c>
      <c r="Z99" s="65" t="s">
        <v>111</v>
      </c>
      <c r="AA99" s="83" t="s">
        <v>61</v>
      </c>
      <c r="AB99" s="65" t="s">
        <v>291</v>
      </c>
    </row>
    <row r="100" spans="1:28" ht="28.8" x14ac:dyDescent="0.3">
      <c r="A100" s="65"/>
      <c r="B100" s="41" t="s">
        <v>63</v>
      </c>
      <c r="C100" s="29" t="s">
        <v>18</v>
      </c>
      <c r="D100" s="65" t="s">
        <v>110</v>
      </c>
      <c r="E100" s="65" t="s">
        <v>30</v>
      </c>
      <c r="F100" s="65" t="s">
        <v>33</v>
      </c>
      <c r="G100" s="32" t="s">
        <v>43</v>
      </c>
      <c r="H100" s="65" t="s">
        <v>192</v>
      </c>
      <c r="I100" s="65">
        <v>1</v>
      </c>
      <c r="J100" s="65" t="s">
        <v>56</v>
      </c>
      <c r="K100" s="65">
        <v>60851.25</v>
      </c>
      <c r="L100" s="57">
        <v>69846.12</v>
      </c>
      <c r="M100" s="58">
        <v>36</v>
      </c>
      <c r="N100" s="57">
        <v>2</v>
      </c>
      <c r="O100" s="66">
        <v>139692.24</v>
      </c>
      <c r="P100" s="67">
        <v>0.4</v>
      </c>
      <c r="Q100" s="58">
        <v>41907.599999999999</v>
      </c>
      <c r="R100" s="66">
        <v>83815.199999999997</v>
      </c>
      <c r="S100" s="56">
        <f t="shared" si="34"/>
        <v>0.70000051541875186</v>
      </c>
      <c r="T100" s="56">
        <f t="shared" si="38"/>
        <v>2.333339060218194</v>
      </c>
      <c r="U100" s="1">
        <f t="shared" si="28"/>
        <v>97784.639999999985</v>
      </c>
      <c r="V100" s="1">
        <f t="shared" si="33"/>
        <v>195569.28</v>
      </c>
      <c r="W100" s="56">
        <f>IFERROR((L100-X100)/L100,0)</f>
        <v>-1</v>
      </c>
      <c r="X100" s="2">
        <v>139692.24</v>
      </c>
      <c r="Y100" s="1">
        <f t="shared" si="37"/>
        <v>279384.48</v>
      </c>
      <c r="Z100" s="65" t="s">
        <v>111</v>
      </c>
      <c r="AA100" s="83" t="s">
        <v>61</v>
      </c>
      <c r="AB100" s="65" t="s">
        <v>292</v>
      </c>
    </row>
    <row r="101" spans="1:28" ht="28.8" x14ac:dyDescent="0.3">
      <c r="A101" s="65" t="s">
        <v>293</v>
      </c>
      <c r="B101" s="41" t="s">
        <v>63</v>
      </c>
      <c r="C101" s="29" t="s">
        <v>18</v>
      </c>
      <c r="D101" t="s">
        <v>130</v>
      </c>
      <c r="E101" s="65" t="s">
        <v>30</v>
      </c>
      <c r="F101" s="65" t="s">
        <v>33</v>
      </c>
      <c r="G101" s="32" t="s">
        <v>43</v>
      </c>
      <c r="H101" s="65" t="s">
        <v>133</v>
      </c>
      <c r="I101">
        <v>1</v>
      </c>
      <c r="J101" t="s">
        <v>51</v>
      </c>
      <c r="K101">
        <v>34.824896000000003</v>
      </c>
      <c r="L101" s="1">
        <v>70</v>
      </c>
      <c r="M101" s="1">
        <v>36</v>
      </c>
      <c r="N101" s="1">
        <v>72</v>
      </c>
      <c r="O101" s="1">
        <v>181440</v>
      </c>
      <c r="P101" s="68">
        <v>0.59</v>
      </c>
      <c r="Q101" s="1">
        <v>1033.2</v>
      </c>
      <c r="R101" s="1">
        <v>74390.399999999994</v>
      </c>
      <c r="S101" s="64">
        <v>0.34824896</v>
      </c>
      <c r="T101" s="56">
        <f t="shared" si="38"/>
        <v>0.53433023615950437</v>
      </c>
      <c r="U101" s="1">
        <f t="shared" si="28"/>
        <v>552.06999999999994</v>
      </c>
      <c r="V101" s="1">
        <f>ROUND(U101*N101, 2)</f>
        <v>39749.040000000001</v>
      </c>
      <c r="W101" s="56">
        <f>IFERROR((M101*L101-X101)/(L101*M101),0)</f>
        <v>0.37092460317460318</v>
      </c>
      <c r="X101" s="1">
        <f>IFERROR(ROUND(Q101/(1-S101), 2), 0)</f>
        <v>1585.27</v>
      </c>
      <c r="Y101" s="1">
        <f t="shared" si="37"/>
        <v>114139.44</v>
      </c>
      <c r="Z101" t="s">
        <v>131</v>
      </c>
      <c r="AA101" s="83" t="s">
        <v>134</v>
      </c>
      <c r="AB101" s="65" t="s">
        <v>294</v>
      </c>
    </row>
    <row r="102" spans="1:28" ht="28.8" x14ac:dyDescent="0.3">
      <c r="A102" s="65"/>
      <c r="B102" s="41" t="s">
        <v>63</v>
      </c>
      <c r="C102" s="29" t="s">
        <v>18</v>
      </c>
      <c r="D102" t="s">
        <v>130</v>
      </c>
      <c r="E102" s="65" t="s">
        <v>30</v>
      </c>
      <c r="F102" s="65" t="s">
        <v>33</v>
      </c>
      <c r="G102" s="32" t="s">
        <v>43</v>
      </c>
      <c r="H102" s="65" t="s">
        <v>133</v>
      </c>
      <c r="I102">
        <v>1</v>
      </c>
      <c r="J102" t="s">
        <v>51</v>
      </c>
      <c r="K102">
        <v>0</v>
      </c>
      <c r="L102" s="1">
        <v>70</v>
      </c>
      <c r="M102" s="1">
        <v>36</v>
      </c>
      <c r="N102" s="1">
        <v>72</v>
      </c>
      <c r="O102" s="1">
        <v>181440</v>
      </c>
      <c r="P102" s="68">
        <v>0.59</v>
      </c>
      <c r="Q102" s="1">
        <v>1033.2</v>
      </c>
      <c r="R102" s="1">
        <v>74390.399999999994</v>
      </c>
      <c r="S102" s="64">
        <v>0</v>
      </c>
      <c r="T102" s="56">
        <f t="shared" si="38"/>
        <v>0</v>
      </c>
      <c r="U102" s="1">
        <f t="shared" si="28"/>
        <v>0</v>
      </c>
      <c r="V102" s="1">
        <f>ROUND(U102*N102, 2)</f>
        <v>0</v>
      </c>
      <c r="W102" s="56">
        <f>IFERROR((M102*L102-X102)/(L102*M102),0)</f>
        <v>0.59</v>
      </c>
      <c r="X102" s="1">
        <f>IFERROR(ROUND(Q102/(1-S102), 2), 0)</f>
        <v>1033.2</v>
      </c>
      <c r="Y102" s="1">
        <f t="shared" si="37"/>
        <v>74390.399999999994</v>
      </c>
      <c r="Z102" t="s">
        <v>131</v>
      </c>
      <c r="AA102" s="83" t="s">
        <v>134</v>
      </c>
      <c r="AB102" s="65" t="s">
        <v>295</v>
      </c>
    </row>
    <row r="103" spans="1:28" ht="28.8" x14ac:dyDescent="0.3">
      <c r="A103" s="65"/>
      <c r="B103" s="41" t="s">
        <v>63</v>
      </c>
      <c r="C103" s="29" t="s">
        <v>18</v>
      </c>
      <c r="D103" t="s">
        <v>130</v>
      </c>
      <c r="E103" s="65" t="s">
        <v>30</v>
      </c>
      <c r="F103" s="65" t="s">
        <v>33</v>
      </c>
      <c r="G103" s="32" t="s">
        <v>43</v>
      </c>
      <c r="H103" s="65" t="s">
        <v>133</v>
      </c>
      <c r="I103">
        <v>1</v>
      </c>
      <c r="J103" t="s">
        <v>51</v>
      </c>
      <c r="K103">
        <v>-34.824896000000003</v>
      </c>
      <c r="L103" s="1">
        <v>70</v>
      </c>
      <c r="M103" s="1">
        <v>36</v>
      </c>
      <c r="N103" s="1">
        <v>72</v>
      </c>
      <c r="O103" s="1">
        <v>181440</v>
      </c>
      <c r="P103" s="68">
        <v>0.59</v>
      </c>
      <c r="Q103" s="1">
        <v>1033.2</v>
      </c>
      <c r="R103" s="1">
        <v>74390.399999999994</v>
      </c>
      <c r="S103" s="64">
        <v>-0.34824896</v>
      </c>
      <c r="T103" s="56">
        <f t="shared" si="38"/>
        <v>-0.25829461866047232</v>
      </c>
      <c r="U103" s="1">
        <f t="shared" si="28"/>
        <v>-266.87</v>
      </c>
      <c r="V103" s="1">
        <f>ROUND(U103*N103, 2)</f>
        <v>-19214.64</v>
      </c>
      <c r="W103" s="56">
        <f>IFERROR((M103*L103-X103)/(L103*M103),0)</f>
        <v>0.69590079365079371</v>
      </c>
      <c r="X103" s="1">
        <f>IFERROR(ROUND(Q103/(1-S103), 2), 0)</f>
        <v>766.33</v>
      </c>
      <c r="Y103" s="1">
        <f t="shared" si="37"/>
        <v>55175.76</v>
      </c>
      <c r="Z103" t="s">
        <v>131</v>
      </c>
      <c r="AA103" s="83" t="s">
        <v>134</v>
      </c>
      <c r="AB103" s="65" t="s">
        <v>296</v>
      </c>
    </row>
    <row r="104" spans="1:28" ht="28.8" x14ac:dyDescent="0.3">
      <c r="A104" s="65"/>
      <c r="B104" s="41" t="s">
        <v>63</v>
      </c>
      <c r="C104" s="29" t="s">
        <v>18</v>
      </c>
      <c r="D104" t="s">
        <v>130</v>
      </c>
      <c r="E104" s="65" t="s">
        <v>30</v>
      </c>
      <c r="F104" s="65" t="s">
        <v>33</v>
      </c>
      <c r="G104" s="32" t="s">
        <v>43</v>
      </c>
      <c r="H104" s="65" t="s">
        <v>133</v>
      </c>
      <c r="I104">
        <v>1</v>
      </c>
      <c r="J104" t="s">
        <v>51</v>
      </c>
      <c r="K104">
        <v>200</v>
      </c>
      <c r="L104" s="1">
        <v>70</v>
      </c>
      <c r="M104" s="1">
        <v>36</v>
      </c>
      <c r="N104" s="1">
        <v>72</v>
      </c>
      <c r="O104" s="1">
        <v>181440</v>
      </c>
      <c r="P104" s="68">
        <v>0.59</v>
      </c>
      <c r="Q104" s="1">
        <v>1033.2</v>
      </c>
      <c r="R104" s="1">
        <v>74390.399999999994</v>
      </c>
      <c r="S104" s="64">
        <v>2</v>
      </c>
      <c r="T104" s="56">
        <f t="shared" si="38"/>
        <v>-2</v>
      </c>
      <c r="U104" s="1">
        <f t="shared" si="28"/>
        <v>-2066.4</v>
      </c>
      <c r="V104" s="1">
        <f>ROUND(U104*N104, 2)</f>
        <v>-148780.79999999999</v>
      </c>
      <c r="W104" s="56">
        <f>IFERROR((M104*L104-X104)/(L104*M104),0)</f>
        <v>1.41</v>
      </c>
      <c r="X104" s="1">
        <f>IFERROR(ROUND(Q104/(1-S104), 2), 0)</f>
        <v>-1033.2</v>
      </c>
      <c r="Y104" s="1">
        <f t="shared" si="37"/>
        <v>-74390.399999999994</v>
      </c>
      <c r="Z104" t="s">
        <v>131</v>
      </c>
      <c r="AA104" s="83" t="s">
        <v>134</v>
      </c>
      <c r="AB104" s="65" t="s">
        <v>297</v>
      </c>
    </row>
    <row r="105" spans="1:28" ht="28.8" x14ac:dyDescent="0.3">
      <c r="A105" s="65"/>
      <c r="B105" s="41" t="s">
        <v>63</v>
      </c>
      <c r="C105" s="29" t="s">
        <v>18</v>
      </c>
      <c r="D105" t="s">
        <v>130</v>
      </c>
      <c r="E105" s="65" t="s">
        <v>30</v>
      </c>
      <c r="F105" s="65" t="s">
        <v>33</v>
      </c>
      <c r="G105" s="32" t="s">
        <v>43</v>
      </c>
      <c r="H105" s="65" t="s">
        <v>133</v>
      </c>
      <c r="I105">
        <v>1</v>
      </c>
      <c r="J105" t="s">
        <v>51</v>
      </c>
      <c r="K105">
        <v>100</v>
      </c>
      <c r="L105" s="1">
        <v>70</v>
      </c>
      <c r="M105" s="1">
        <v>36</v>
      </c>
      <c r="N105" s="1">
        <v>72</v>
      </c>
      <c r="O105" s="1">
        <v>181440</v>
      </c>
      <c r="P105" s="68">
        <v>0.59</v>
      </c>
      <c r="Q105" s="1">
        <v>1033.2</v>
      </c>
      <c r="R105" s="1">
        <v>74390.399999999994</v>
      </c>
      <c r="S105" s="64">
        <v>1</v>
      </c>
      <c r="T105" s="56">
        <f t="shared" si="38"/>
        <v>-1</v>
      </c>
      <c r="U105" s="1">
        <f t="shared" si="28"/>
        <v>-1033.2</v>
      </c>
      <c r="V105" s="1">
        <f>ROUND(U105*N105, 2)</f>
        <v>-74390.399999999994</v>
      </c>
      <c r="W105" s="56">
        <f>IFERROR((M105*L105-X105)/(L105*M105),0)</f>
        <v>1</v>
      </c>
      <c r="X105" s="1">
        <f>IFERROR(ROUND(Q105/(1-S105), 2), 0)</f>
        <v>0</v>
      </c>
      <c r="Y105" s="1">
        <f t="shared" si="37"/>
        <v>0</v>
      </c>
      <c r="Z105" t="s">
        <v>131</v>
      </c>
      <c r="AA105" s="83" t="s">
        <v>134</v>
      </c>
      <c r="AB105" s="65" t="s">
        <v>298</v>
      </c>
    </row>
    <row r="106" spans="1:28" ht="28.8" x14ac:dyDescent="0.3">
      <c r="A106" s="65" t="s">
        <v>299</v>
      </c>
      <c r="B106" s="41" t="s">
        <v>63</v>
      </c>
      <c r="C106" s="29" t="s">
        <v>18</v>
      </c>
      <c r="D106" s="65" t="s">
        <v>110</v>
      </c>
      <c r="E106" s="65" t="s">
        <v>30</v>
      </c>
      <c r="F106" s="65" t="s">
        <v>33</v>
      </c>
      <c r="G106" s="32" t="s">
        <v>43</v>
      </c>
      <c r="H106" s="65" t="s">
        <v>192</v>
      </c>
      <c r="I106" s="65">
        <v>1</v>
      </c>
      <c r="J106" t="s">
        <v>39</v>
      </c>
      <c r="K106" s="65">
        <v>56.879853099999998</v>
      </c>
      <c r="L106" s="57">
        <v>69846.12</v>
      </c>
      <c r="M106" s="58">
        <v>36</v>
      </c>
      <c r="N106" s="57">
        <v>2</v>
      </c>
      <c r="O106" s="66">
        <v>139692.24</v>
      </c>
      <c r="P106" s="62">
        <v>0.568798531</v>
      </c>
      <c r="Q106" s="1">
        <f>IFERROR(ROUND(L106*(1-P106), 2), 0)</f>
        <v>30117.75</v>
      </c>
      <c r="R106" s="1">
        <f t="shared" ref="R106:R123" si="40">IFERROR(ROUND(Q106*N106, 2), 0)</f>
        <v>60235.5</v>
      </c>
      <c r="S106" s="56">
        <f t="shared" ref="S106:S132" si="41">IFERROR((X106-Q106)/X106,0)</f>
        <v>0.56879852452791935</v>
      </c>
      <c r="T106" s="56">
        <f t="shared" si="38"/>
        <v>1.3191015265084542</v>
      </c>
      <c r="U106" s="1">
        <f t="shared" si="28"/>
        <v>39728.369999999995</v>
      </c>
      <c r="V106" s="1">
        <f t="shared" ref="V106:V132" si="42">ROUND(U106*N106, 2)</f>
        <v>79456.740000000005</v>
      </c>
      <c r="W106" s="55">
        <v>0</v>
      </c>
      <c r="X106" s="1">
        <v>69846.12</v>
      </c>
      <c r="Y106" s="1">
        <v>139692.24</v>
      </c>
      <c r="Z106" s="65" t="s">
        <v>111</v>
      </c>
      <c r="AA106" s="83" t="s">
        <v>61</v>
      </c>
      <c r="AB106" s="65" t="s">
        <v>300</v>
      </c>
    </row>
    <row r="107" spans="1:28" ht="28.8" x14ac:dyDescent="0.3">
      <c r="A107" s="65"/>
      <c r="B107" s="41" t="s">
        <v>63</v>
      </c>
      <c r="C107" s="29" t="s">
        <v>18</v>
      </c>
      <c r="D107" s="65" t="s">
        <v>110</v>
      </c>
      <c r="E107" s="65" t="s">
        <v>30</v>
      </c>
      <c r="F107" s="65" t="s">
        <v>33</v>
      </c>
      <c r="G107" s="32" t="s">
        <v>43</v>
      </c>
      <c r="H107" s="65" t="s">
        <v>192</v>
      </c>
      <c r="I107" s="65">
        <v>1</v>
      </c>
      <c r="J107" t="s">
        <v>39</v>
      </c>
      <c r="K107" s="65">
        <v>0</v>
      </c>
      <c r="L107" s="57">
        <v>69846.12</v>
      </c>
      <c r="M107" s="58">
        <v>36</v>
      </c>
      <c r="N107" s="57">
        <v>2</v>
      </c>
      <c r="O107" s="66">
        <v>139692.24</v>
      </c>
      <c r="P107" s="62">
        <v>0</v>
      </c>
      <c r="Q107" s="1">
        <f>IFERROR(ROUND(L107*(1-P107), 2), 0)</f>
        <v>69846.12</v>
      </c>
      <c r="R107" s="1">
        <f t="shared" si="40"/>
        <v>139692.24</v>
      </c>
      <c r="S107" s="56">
        <f t="shared" si="41"/>
        <v>0</v>
      </c>
      <c r="T107" s="56">
        <f t="shared" si="38"/>
        <v>0</v>
      </c>
      <c r="U107" s="1">
        <f t="shared" si="28"/>
        <v>0</v>
      </c>
      <c r="V107" s="1">
        <f t="shared" si="42"/>
        <v>0</v>
      </c>
      <c r="W107" s="55">
        <v>0</v>
      </c>
      <c r="X107" s="1">
        <v>69846.12</v>
      </c>
      <c r="Y107" s="1">
        <v>139692.24</v>
      </c>
      <c r="Z107" s="65" t="s">
        <v>111</v>
      </c>
      <c r="AA107" s="83" t="s">
        <v>61</v>
      </c>
      <c r="AB107" s="65" t="s">
        <v>301</v>
      </c>
    </row>
    <row r="108" spans="1:28" ht="28.8" x14ac:dyDescent="0.3">
      <c r="A108" s="65"/>
      <c r="B108" s="41" t="s">
        <v>63</v>
      </c>
      <c r="C108" s="29" t="s">
        <v>18</v>
      </c>
      <c r="D108" s="65" t="s">
        <v>110</v>
      </c>
      <c r="E108" s="65" t="s">
        <v>30</v>
      </c>
      <c r="F108" s="65" t="s">
        <v>33</v>
      </c>
      <c r="G108" s="32" t="s">
        <v>43</v>
      </c>
      <c r="H108" s="65" t="s">
        <v>192</v>
      </c>
      <c r="I108" s="65">
        <v>1</v>
      </c>
      <c r="J108" t="s">
        <v>39</v>
      </c>
      <c r="K108" s="65">
        <v>-56.879853099999998</v>
      </c>
      <c r="L108" s="57">
        <v>69846.12</v>
      </c>
      <c r="M108" s="58">
        <v>36</v>
      </c>
      <c r="N108" s="57">
        <v>2</v>
      </c>
      <c r="O108" s="66">
        <v>139692.24</v>
      </c>
      <c r="P108" s="62">
        <v>-0.568798531</v>
      </c>
      <c r="Q108" s="1">
        <f>IFERROR(ROUND(L108*(1-P108), 2), 0)</f>
        <v>109574.49</v>
      </c>
      <c r="R108" s="1">
        <f t="shared" si="40"/>
        <v>219148.98</v>
      </c>
      <c r="S108" s="56">
        <f t="shared" si="41"/>
        <v>-0.56879852452791957</v>
      </c>
      <c r="T108" s="56">
        <f t="shared" si="38"/>
        <v>-0.36256951777735863</v>
      </c>
      <c r="U108" s="1">
        <f t="shared" si="28"/>
        <v>-39728.37000000001</v>
      </c>
      <c r="V108" s="1">
        <f t="shared" si="42"/>
        <v>-79456.740000000005</v>
      </c>
      <c r="W108" s="55">
        <v>0</v>
      </c>
      <c r="X108" s="1">
        <v>69846.12</v>
      </c>
      <c r="Y108" s="1">
        <v>139692.24</v>
      </c>
      <c r="Z108" s="65" t="s">
        <v>111</v>
      </c>
      <c r="AA108" s="83" t="s">
        <v>61</v>
      </c>
      <c r="AB108" s="65" t="s">
        <v>302</v>
      </c>
    </row>
    <row r="109" spans="1:28" ht="28.8" x14ac:dyDescent="0.3">
      <c r="A109" s="65"/>
      <c r="B109" s="41" t="s">
        <v>63</v>
      </c>
      <c r="C109" s="29" t="s">
        <v>18</v>
      </c>
      <c r="D109" s="65" t="s">
        <v>110</v>
      </c>
      <c r="E109" s="65" t="s">
        <v>30</v>
      </c>
      <c r="F109" s="65" t="s">
        <v>33</v>
      </c>
      <c r="G109" s="32" t="s">
        <v>43</v>
      </c>
      <c r="H109" s="65" t="s">
        <v>192</v>
      </c>
      <c r="I109" s="65">
        <v>1</v>
      </c>
      <c r="J109" t="s">
        <v>39</v>
      </c>
      <c r="K109" s="66">
        <v>200</v>
      </c>
      <c r="L109" s="57">
        <v>69846.12</v>
      </c>
      <c r="M109" s="58">
        <v>36</v>
      </c>
      <c r="N109" s="57">
        <v>2</v>
      </c>
      <c r="O109" s="66">
        <v>139692.24</v>
      </c>
      <c r="P109" s="62">
        <v>2</v>
      </c>
      <c r="Q109" s="1">
        <f>IFERROR(ROUND(L109*(1-P109), 2), 0)</f>
        <v>-69846.12</v>
      </c>
      <c r="R109" s="1">
        <f t="shared" si="40"/>
        <v>-139692.24</v>
      </c>
      <c r="S109" s="56">
        <f t="shared" si="41"/>
        <v>2</v>
      </c>
      <c r="T109" s="56">
        <f t="shared" si="38"/>
        <v>-2</v>
      </c>
      <c r="U109" s="1">
        <f t="shared" si="28"/>
        <v>139692.24</v>
      </c>
      <c r="V109" s="1">
        <f t="shared" si="42"/>
        <v>279384.48</v>
      </c>
      <c r="W109" s="55">
        <v>0</v>
      </c>
      <c r="X109" s="1">
        <v>69846.12</v>
      </c>
      <c r="Y109" s="1">
        <v>139692.24</v>
      </c>
      <c r="Z109" s="65" t="s">
        <v>111</v>
      </c>
      <c r="AA109" s="83" t="s">
        <v>61</v>
      </c>
      <c r="AB109" s="65" t="s">
        <v>303</v>
      </c>
    </row>
    <row r="110" spans="1:28" ht="28.8" x14ac:dyDescent="0.3">
      <c r="A110" s="65"/>
      <c r="B110" s="41" t="s">
        <v>63</v>
      </c>
      <c r="C110" s="29" t="s">
        <v>18</v>
      </c>
      <c r="D110" s="65" t="s">
        <v>110</v>
      </c>
      <c r="E110" s="65" t="s">
        <v>30</v>
      </c>
      <c r="F110" s="65" t="s">
        <v>33</v>
      </c>
      <c r="G110" s="32" t="s">
        <v>43</v>
      </c>
      <c r="H110" s="65" t="s">
        <v>192</v>
      </c>
      <c r="I110" s="65">
        <v>1</v>
      </c>
      <c r="J110" t="s">
        <v>39</v>
      </c>
      <c r="K110" s="66">
        <v>100</v>
      </c>
      <c r="L110" s="57">
        <v>69846.12</v>
      </c>
      <c r="M110" s="58">
        <v>36</v>
      </c>
      <c r="N110" s="57">
        <v>2</v>
      </c>
      <c r="O110" s="66">
        <v>139692.24</v>
      </c>
      <c r="P110" s="62">
        <v>1</v>
      </c>
      <c r="Q110" s="1">
        <f>IFERROR(ROUND(L110*(1-P110), 2), 0)</f>
        <v>0</v>
      </c>
      <c r="R110" s="1">
        <f t="shared" si="40"/>
        <v>0</v>
      </c>
      <c r="S110" s="56">
        <f t="shared" si="41"/>
        <v>1</v>
      </c>
      <c r="T110" s="56">
        <f t="shared" si="38"/>
        <v>0</v>
      </c>
      <c r="U110" s="1">
        <f t="shared" si="28"/>
        <v>69846.12</v>
      </c>
      <c r="V110" s="1">
        <f t="shared" si="42"/>
        <v>139692.24</v>
      </c>
      <c r="W110" s="55">
        <v>0</v>
      </c>
      <c r="X110" s="1">
        <v>69846.12</v>
      </c>
      <c r="Y110" s="1">
        <v>139692.24</v>
      </c>
      <c r="Z110" s="65" t="s">
        <v>111</v>
      </c>
      <c r="AA110" s="83" t="s">
        <v>61</v>
      </c>
      <c r="AB110" s="65" t="s">
        <v>304</v>
      </c>
    </row>
    <row r="111" spans="1:28" ht="28.8" x14ac:dyDescent="0.3">
      <c r="A111" s="65" t="s">
        <v>305</v>
      </c>
      <c r="B111" s="41" t="s">
        <v>63</v>
      </c>
      <c r="C111" s="29" t="s">
        <v>18</v>
      </c>
      <c r="D111" s="65" t="s">
        <v>110</v>
      </c>
      <c r="E111" s="65" t="s">
        <v>307</v>
      </c>
      <c r="F111" s="65" t="s">
        <v>33</v>
      </c>
      <c r="G111" s="32" t="s">
        <v>43</v>
      </c>
      <c r="H111" s="65" t="s">
        <v>114</v>
      </c>
      <c r="I111">
        <v>1</v>
      </c>
      <c r="J111" s="65" t="s">
        <v>49</v>
      </c>
      <c r="K111">
        <v>10959.84</v>
      </c>
      <c r="L111" s="1">
        <v>12213.63</v>
      </c>
      <c r="M111" s="1"/>
      <c r="N111" s="1">
        <v>2</v>
      </c>
      <c r="O111" s="1">
        <v>24427.26</v>
      </c>
      <c r="P111" s="56">
        <f t="shared" ref="P111:P123" si="43">IFERROR((L111-Q111)/L111,0)</f>
        <v>0.10265498463601723</v>
      </c>
      <c r="Q111" s="2">
        <v>10959.84</v>
      </c>
      <c r="R111" s="1">
        <f t="shared" si="40"/>
        <v>21919.68</v>
      </c>
      <c r="S111" s="56">
        <f t="shared" si="41"/>
        <v>0.10265498463601723</v>
      </c>
      <c r="T111" s="56">
        <f t="shared" si="38"/>
        <v>0.11439856786230447</v>
      </c>
      <c r="U111" s="1">
        <f t="shared" si="28"/>
        <v>1253.7899999999991</v>
      </c>
      <c r="V111" s="1">
        <f t="shared" si="42"/>
        <v>2507.58</v>
      </c>
      <c r="W111" s="55">
        <v>0</v>
      </c>
      <c r="X111" s="1">
        <v>12213.63</v>
      </c>
      <c r="Y111" s="1">
        <v>24427.26</v>
      </c>
      <c r="Z111" s="65" t="s">
        <v>111</v>
      </c>
      <c r="AA111" s="65" t="s">
        <v>115</v>
      </c>
      <c r="AB111" s="65" t="s">
        <v>306</v>
      </c>
    </row>
    <row r="112" spans="1:28" ht="28.8" x14ac:dyDescent="0.3">
      <c r="A112" s="65"/>
      <c r="B112" s="41" t="s">
        <v>63</v>
      </c>
      <c r="C112" s="29" t="s">
        <v>18</v>
      </c>
      <c r="D112" s="65" t="s">
        <v>110</v>
      </c>
      <c r="E112" s="65" t="s">
        <v>307</v>
      </c>
      <c r="F112" s="65" t="s">
        <v>33</v>
      </c>
      <c r="G112" s="32" t="s">
        <v>43</v>
      </c>
      <c r="H112" s="65" t="s">
        <v>114</v>
      </c>
      <c r="I112">
        <v>1</v>
      </c>
      <c r="J112" s="65" t="s">
        <v>49</v>
      </c>
      <c r="K112">
        <v>0</v>
      </c>
      <c r="L112" s="1">
        <v>12213.63</v>
      </c>
      <c r="M112" s="1"/>
      <c r="N112" s="1">
        <v>2</v>
      </c>
      <c r="O112" s="1">
        <v>24427.26</v>
      </c>
      <c r="P112" s="56">
        <f t="shared" si="43"/>
        <v>1</v>
      </c>
      <c r="Q112" s="2">
        <v>0</v>
      </c>
      <c r="R112" s="1">
        <f t="shared" si="40"/>
        <v>0</v>
      </c>
      <c r="S112" s="56">
        <f t="shared" si="41"/>
        <v>1</v>
      </c>
      <c r="T112" s="56">
        <f t="shared" si="38"/>
        <v>0</v>
      </c>
      <c r="U112" s="1">
        <f t="shared" si="28"/>
        <v>12213.63</v>
      </c>
      <c r="V112" s="1">
        <f t="shared" si="42"/>
        <v>24427.26</v>
      </c>
      <c r="W112" s="55">
        <v>0</v>
      </c>
      <c r="X112" s="1">
        <v>12213.63</v>
      </c>
      <c r="Y112" s="1">
        <v>24427.26</v>
      </c>
      <c r="Z112" s="65" t="s">
        <v>111</v>
      </c>
      <c r="AA112" s="65" t="s">
        <v>115</v>
      </c>
      <c r="AB112" s="65" t="s">
        <v>308</v>
      </c>
    </row>
    <row r="113" spans="1:28" ht="28.8" x14ac:dyDescent="0.3">
      <c r="A113" s="65"/>
      <c r="B113" s="41" t="s">
        <v>63</v>
      </c>
      <c r="C113" s="29" t="s">
        <v>18</v>
      </c>
      <c r="D113" s="65" t="s">
        <v>110</v>
      </c>
      <c r="E113" s="65" t="s">
        <v>307</v>
      </c>
      <c r="F113" s="65" t="s">
        <v>33</v>
      </c>
      <c r="G113" s="32" t="s">
        <v>43</v>
      </c>
      <c r="H113" s="65" t="s">
        <v>114</v>
      </c>
      <c r="I113">
        <v>1</v>
      </c>
      <c r="J113" s="65" t="s">
        <v>49</v>
      </c>
      <c r="K113">
        <v>-10959.84</v>
      </c>
      <c r="L113" s="1">
        <v>12213.63</v>
      </c>
      <c r="M113" s="1"/>
      <c r="N113" s="1">
        <v>2</v>
      </c>
      <c r="O113" s="1">
        <v>24427.26</v>
      </c>
      <c r="P113" s="56">
        <f t="shared" si="43"/>
        <v>1.8973450153639828</v>
      </c>
      <c r="Q113" s="2">
        <v>-10959.84</v>
      </c>
      <c r="R113" s="1">
        <f t="shared" si="40"/>
        <v>-21919.68</v>
      </c>
      <c r="S113" s="56">
        <f t="shared" si="41"/>
        <v>1.8973450153639828</v>
      </c>
      <c r="T113" s="56">
        <f t="shared" si="38"/>
        <v>-2.1143985678623047</v>
      </c>
      <c r="U113" s="1">
        <f t="shared" si="28"/>
        <v>23173.47</v>
      </c>
      <c r="V113" s="1">
        <f t="shared" si="42"/>
        <v>46346.94</v>
      </c>
      <c r="W113" s="55">
        <v>0</v>
      </c>
      <c r="X113" s="1">
        <v>12213.63</v>
      </c>
      <c r="Y113" s="1">
        <v>24427.26</v>
      </c>
      <c r="Z113" s="65" t="s">
        <v>111</v>
      </c>
      <c r="AA113" s="65" t="s">
        <v>115</v>
      </c>
      <c r="AB113" s="65" t="s">
        <v>309</v>
      </c>
    </row>
    <row r="114" spans="1:28" ht="28.8" x14ac:dyDescent="0.3">
      <c r="A114" s="65"/>
      <c r="B114" s="41" t="s">
        <v>63</v>
      </c>
      <c r="C114" s="29" t="s">
        <v>18</v>
      </c>
      <c r="D114" s="65" t="s">
        <v>110</v>
      </c>
      <c r="E114" s="65" t="s">
        <v>307</v>
      </c>
      <c r="F114" s="65" t="s">
        <v>33</v>
      </c>
      <c r="G114" s="32" t="s">
        <v>43</v>
      </c>
      <c r="H114" s="65" t="s">
        <v>114</v>
      </c>
      <c r="I114">
        <v>1</v>
      </c>
      <c r="J114" s="65" t="s">
        <v>49</v>
      </c>
      <c r="K114" s="1">
        <v>24427.26</v>
      </c>
      <c r="L114" s="1">
        <v>12213.63</v>
      </c>
      <c r="M114" s="1"/>
      <c r="N114" s="1">
        <v>2</v>
      </c>
      <c r="O114" s="1">
        <v>24427.26</v>
      </c>
      <c r="P114" s="56">
        <f t="shared" si="43"/>
        <v>-1</v>
      </c>
      <c r="Q114" s="2">
        <v>24427.26</v>
      </c>
      <c r="R114" s="1">
        <f t="shared" si="40"/>
        <v>48854.52</v>
      </c>
      <c r="S114" s="56">
        <f t="shared" si="41"/>
        <v>-1</v>
      </c>
      <c r="T114" s="56">
        <f t="shared" si="38"/>
        <v>-0.5</v>
      </c>
      <c r="U114" s="1">
        <f t="shared" si="28"/>
        <v>-12213.63</v>
      </c>
      <c r="V114" s="1">
        <f t="shared" si="42"/>
        <v>-24427.26</v>
      </c>
      <c r="W114" s="55">
        <v>0</v>
      </c>
      <c r="X114" s="1">
        <v>12213.63</v>
      </c>
      <c r="Y114" s="1">
        <v>24427.26</v>
      </c>
      <c r="Z114" s="65" t="s">
        <v>111</v>
      </c>
      <c r="AA114" s="65" t="s">
        <v>115</v>
      </c>
      <c r="AB114" s="65" t="s">
        <v>310</v>
      </c>
    </row>
    <row r="115" spans="1:28" ht="28.8" x14ac:dyDescent="0.3">
      <c r="A115" s="65" t="s">
        <v>311</v>
      </c>
      <c r="B115" s="41" t="s">
        <v>63</v>
      </c>
      <c r="C115" s="29" t="s">
        <v>18</v>
      </c>
      <c r="D115" s="65" t="s">
        <v>110</v>
      </c>
      <c r="E115" s="65" t="s">
        <v>307</v>
      </c>
      <c r="F115" s="65" t="s">
        <v>33</v>
      </c>
      <c r="G115" s="32" t="s">
        <v>43</v>
      </c>
      <c r="H115" s="65" t="s">
        <v>114</v>
      </c>
      <c r="I115">
        <v>1</v>
      </c>
      <c r="J115" s="65" t="s">
        <v>52</v>
      </c>
      <c r="K115">
        <v>5.7364889999999997</v>
      </c>
      <c r="L115" s="1">
        <v>12213.63</v>
      </c>
      <c r="M115" s="1"/>
      <c r="N115" s="1">
        <v>2</v>
      </c>
      <c r="O115" s="1">
        <v>24427.26</v>
      </c>
      <c r="P115" s="56">
        <f t="shared" si="43"/>
        <v>5.425250314607525E-2</v>
      </c>
      <c r="Q115" s="1">
        <f>IFERROR(ROUND(X115/(1+T115), 2), 0)</f>
        <v>11551.01</v>
      </c>
      <c r="R115" s="1">
        <f t="shared" si="40"/>
        <v>23102.02</v>
      </c>
      <c r="S115" s="56">
        <f t="shared" si="41"/>
        <v>5.425250314607525E-2</v>
      </c>
      <c r="T115" s="64">
        <v>5.7364890000000002E-2</v>
      </c>
      <c r="U115" s="1">
        <f t="shared" si="28"/>
        <v>662.61999999999898</v>
      </c>
      <c r="V115" s="1">
        <f t="shared" si="42"/>
        <v>1325.24</v>
      </c>
      <c r="W115" s="55">
        <v>0</v>
      </c>
      <c r="X115" s="1">
        <v>12213.63</v>
      </c>
      <c r="Y115" s="1">
        <v>24427.26</v>
      </c>
      <c r="Z115" s="65" t="s">
        <v>111</v>
      </c>
      <c r="AA115" s="65" t="s">
        <v>115</v>
      </c>
      <c r="AB115" s="65" t="s">
        <v>312</v>
      </c>
    </row>
    <row r="116" spans="1:28" ht="28.8" x14ac:dyDescent="0.3">
      <c r="A116" s="65"/>
      <c r="B116" s="41" t="s">
        <v>63</v>
      </c>
      <c r="C116" s="29" t="s">
        <v>18</v>
      </c>
      <c r="D116" s="65" t="s">
        <v>110</v>
      </c>
      <c r="E116" s="65" t="s">
        <v>307</v>
      </c>
      <c r="F116" s="65" t="s">
        <v>33</v>
      </c>
      <c r="G116" s="32" t="s">
        <v>43</v>
      </c>
      <c r="H116" s="65" t="s">
        <v>114</v>
      </c>
      <c r="I116">
        <v>1</v>
      </c>
      <c r="J116" s="65" t="s">
        <v>52</v>
      </c>
      <c r="K116">
        <v>0</v>
      </c>
      <c r="L116" s="1">
        <v>12213.63</v>
      </c>
      <c r="M116" s="1"/>
      <c r="N116" s="1">
        <v>2</v>
      </c>
      <c r="O116" s="1">
        <v>24427.26</v>
      </c>
      <c r="P116" s="56">
        <f t="shared" si="43"/>
        <v>0</v>
      </c>
      <c r="Q116" s="1">
        <f>IFERROR(ROUND(X116/(1+T116), 2), 0)</f>
        <v>12213.63</v>
      </c>
      <c r="R116" s="1">
        <f t="shared" si="40"/>
        <v>24427.26</v>
      </c>
      <c r="S116" s="56">
        <f t="shared" si="41"/>
        <v>0</v>
      </c>
      <c r="T116" s="64">
        <v>0</v>
      </c>
      <c r="U116" s="1">
        <f t="shared" si="28"/>
        <v>0</v>
      </c>
      <c r="V116" s="1">
        <f t="shared" si="42"/>
        <v>0</v>
      </c>
      <c r="W116" s="55">
        <v>0</v>
      </c>
      <c r="X116" s="1">
        <v>12213.63</v>
      </c>
      <c r="Y116" s="1">
        <v>24427.26</v>
      </c>
      <c r="Z116" s="65" t="s">
        <v>111</v>
      </c>
      <c r="AA116" s="65" t="s">
        <v>115</v>
      </c>
      <c r="AB116" s="65" t="s">
        <v>313</v>
      </c>
    </row>
    <row r="117" spans="1:28" ht="28.8" x14ac:dyDescent="0.3">
      <c r="A117" s="65"/>
      <c r="B117" s="41" t="s">
        <v>63</v>
      </c>
      <c r="C117" s="29" t="s">
        <v>18</v>
      </c>
      <c r="D117" s="65" t="s">
        <v>110</v>
      </c>
      <c r="E117" s="65" t="s">
        <v>307</v>
      </c>
      <c r="F117" s="65" t="s">
        <v>33</v>
      </c>
      <c r="G117" s="32" t="s">
        <v>43</v>
      </c>
      <c r="H117" s="65" t="s">
        <v>114</v>
      </c>
      <c r="I117">
        <v>1</v>
      </c>
      <c r="J117" s="65" t="s">
        <v>52</v>
      </c>
      <c r="K117">
        <v>-5.7364889999999997</v>
      </c>
      <c r="L117" s="1">
        <v>12213.63</v>
      </c>
      <c r="M117" s="1"/>
      <c r="N117" s="1">
        <v>2</v>
      </c>
      <c r="O117" s="1">
        <v>24427.26</v>
      </c>
      <c r="P117" s="56">
        <f t="shared" si="43"/>
        <v>-6.0855781614475017E-2</v>
      </c>
      <c r="Q117" s="1">
        <f>IFERROR(ROUND(X117/(1+T117), 2), 0)</f>
        <v>12956.9</v>
      </c>
      <c r="R117" s="1">
        <f t="shared" si="40"/>
        <v>25913.8</v>
      </c>
      <c r="S117" s="56">
        <f t="shared" si="41"/>
        <v>-6.0855781614475017E-2</v>
      </c>
      <c r="T117" s="64">
        <v>-5.7364890000000002E-2</v>
      </c>
      <c r="U117" s="1">
        <f t="shared" si="28"/>
        <v>-743.27000000000044</v>
      </c>
      <c r="V117" s="1">
        <f t="shared" si="42"/>
        <v>-1486.54</v>
      </c>
      <c r="W117" s="55">
        <v>0</v>
      </c>
      <c r="X117" s="1">
        <v>12213.63</v>
      </c>
      <c r="Y117" s="1">
        <v>24427.26</v>
      </c>
      <c r="Z117" s="65" t="s">
        <v>111</v>
      </c>
      <c r="AA117" s="65" t="s">
        <v>115</v>
      </c>
      <c r="AB117" s="65" t="s">
        <v>314</v>
      </c>
    </row>
    <row r="118" spans="1:28" ht="28.8" x14ac:dyDescent="0.3">
      <c r="A118" s="65"/>
      <c r="B118" s="41" t="s">
        <v>63</v>
      </c>
      <c r="C118" s="29" t="s">
        <v>18</v>
      </c>
      <c r="D118" s="65" t="s">
        <v>110</v>
      </c>
      <c r="E118" s="65" t="s">
        <v>307</v>
      </c>
      <c r="F118" s="65" t="s">
        <v>33</v>
      </c>
      <c r="G118" s="32" t="s">
        <v>43</v>
      </c>
      <c r="H118" s="65" t="s">
        <v>114</v>
      </c>
      <c r="I118">
        <v>1</v>
      </c>
      <c r="J118" s="65" t="s">
        <v>52</v>
      </c>
      <c r="K118">
        <v>200</v>
      </c>
      <c r="L118" s="1">
        <v>12213.63</v>
      </c>
      <c r="M118" s="1"/>
      <c r="N118" s="1">
        <v>2</v>
      </c>
      <c r="O118" s="1">
        <v>24427.26</v>
      </c>
      <c r="P118" s="56">
        <f t="shared" si="43"/>
        <v>0.66666666666666663</v>
      </c>
      <c r="Q118" s="1">
        <f>IFERROR(ROUND(X118/(1+T118), 2), 0)</f>
        <v>4071.21</v>
      </c>
      <c r="R118" s="1">
        <f t="shared" si="40"/>
        <v>8142.42</v>
      </c>
      <c r="S118" s="56">
        <f t="shared" si="41"/>
        <v>0.66666666666666663</v>
      </c>
      <c r="T118" s="64">
        <v>2</v>
      </c>
      <c r="U118" s="1">
        <f t="shared" si="28"/>
        <v>8142.4199999999992</v>
      </c>
      <c r="V118" s="1">
        <f t="shared" si="42"/>
        <v>16284.84</v>
      </c>
      <c r="W118" s="55">
        <v>0</v>
      </c>
      <c r="X118" s="1">
        <v>12213.63</v>
      </c>
      <c r="Y118" s="1">
        <v>24427.26</v>
      </c>
      <c r="Z118" s="65" t="s">
        <v>111</v>
      </c>
      <c r="AA118" s="65" t="s">
        <v>115</v>
      </c>
      <c r="AB118" s="65" t="s">
        <v>315</v>
      </c>
    </row>
    <row r="119" spans="1:28" ht="28.8" x14ac:dyDescent="0.3">
      <c r="A119" s="65"/>
      <c r="B119" s="41" t="s">
        <v>63</v>
      </c>
      <c r="C119" s="29" t="s">
        <v>18</v>
      </c>
      <c r="D119" s="65" t="s">
        <v>110</v>
      </c>
      <c r="E119" s="65" t="s">
        <v>307</v>
      </c>
      <c r="F119" s="65" t="s">
        <v>33</v>
      </c>
      <c r="G119" s="32" t="s">
        <v>43</v>
      </c>
      <c r="H119" s="65" t="s">
        <v>114</v>
      </c>
      <c r="I119">
        <v>1</v>
      </c>
      <c r="J119" s="65" t="s">
        <v>52</v>
      </c>
      <c r="K119">
        <v>100</v>
      </c>
      <c r="L119" s="1">
        <v>12213.63</v>
      </c>
      <c r="M119" s="1"/>
      <c r="N119" s="1">
        <v>2</v>
      </c>
      <c r="O119" s="1">
        <v>24427.26</v>
      </c>
      <c r="P119" s="56">
        <f t="shared" si="43"/>
        <v>0.49999959062129767</v>
      </c>
      <c r="Q119" s="1">
        <f>IFERROR(ROUND(X119/(1+T119), 2), 0)</f>
        <v>6106.82</v>
      </c>
      <c r="R119" s="1">
        <f t="shared" si="40"/>
        <v>12213.64</v>
      </c>
      <c r="S119" s="56">
        <f t="shared" si="41"/>
        <v>0.49999959062129767</v>
      </c>
      <c r="T119" s="64">
        <v>1</v>
      </c>
      <c r="U119" s="1">
        <f t="shared" si="28"/>
        <v>6106.8099999999995</v>
      </c>
      <c r="V119" s="1">
        <f t="shared" si="42"/>
        <v>12213.62</v>
      </c>
      <c r="W119" s="55">
        <v>0</v>
      </c>
      <c r="X119" s="1">
        <v>12213.63</v>
      </c>
      <c r="Y119" s="1">
        <v>24427.26</v>
      </c>
      <c r="Z119" s="65" t="s">
        <v>111</v>
      </c>
      <c r="AA119" s="65" t="s">
        <v>115</v>
      </c>
      <c r="AB119" s="65" t="s">
        <v>316</v>
      </c>
    </row>
    <row r="120" spans="1:28" ht="28.8" x14ac:dyDescent="0.3">
      <c r="A120" s="65" t="s">
        <v>317</v>
      </c>
      <c r="B120" s="41" t="s">
        <v>63</v>
      </c>
      <c r="C120" s="29" t="s">
        <v>18</v>
      </c>
      <c r="D120" s="65" t="s">
        <v>235</v>
      </c>
      <c r="E120" s="65" t="s">
        <v>307</v>
      </c>
      <c r="F120" s="65" t="s">
        <v>33</v>
      </c>
      <c r="G120" s="32" t="s">
        <v>43</v>
      </c>
      <c r="H120" s="65" t="s">
        <v>238</v>
      </c>
      <c r="I120">
        <v>1</v>
      </c>
      <c r="J120" s="65" t="s">
        <v>53</v>
      </c>
      <c r="K120">
        <v>16575.96</v>
      </c>
      <c r="L120" s="66">
        <v>189270</v>
      </c>
      <c r="M120" s="66"/>
      <c r="N120" s="66">
        <v>2</v>
      </c>
      <c r="O120" s="66">
        <v>378540</v>
      </c>
      <c r="P120" s="56">
        <f t="shared" si="43"/>
        <v>8.7578380091932112E-2</v>
      </c>
      <c r="Q120" s="1">
        <f>IFERROR(ROUND(X120-U120, 2), 0)</f>
        <v>172694.04</v>
      </c>
      <c r="R120" s="1">
        <f t="shared" si="40"/>
        <v>345388.08</v>
      </c>
      <c r="S120" s="56">
        <f t="shared" si="41"/>
        <v>8.7578380091932112E-2</v>
      </c>
      <c r="T120" s="56">
        <f t="shared" ref="T120:T142" si="44">IFERROR((X120-Q120)/Q120,0)</f>
        <v>9.5984551638261459E-2</v>
      </c>
      <c r="U120" s="2">
        <v>16575.96</v>
      </c>
      <c r="V120" s="1">
        <f t="shared" si="42"/>
        <v>33151.919999999998</v>
      </c>
      <c r="W120" s="55">
        <v>0</v>
      </c>
      <c r="X120" s="1">
        <v>189270</v>
      </c>
      <c r="Y120" s="1">
        <v>378540</v>
      </c>
      <c r="Z120" s="65" t="s">
        <v>236</v>
      </c>
      <c r="AA120" s="65" t="s">
        <v>239</v>
      </c>
      <c r="AB120" s="65" t="s">
        <v>318</v>
      </c>
    </row>
    <row r="121" spans="1:28" ht="28.8" x14ac:dyDescent="0.3">
      <c r="A121" s="65"/>
      <c r="B121" s="41" t="s">
        <v>63</v>
      </c>
      <c r="C121" s="29" t="s">
        <v>18</v>
      </c>
      <c r="D121" s="65" t="s">
        <v>235</v>
      </c>
      <c r="E121" s="65" t="s">
        <v>307</v>
      </c>
      <c r="F121" s="65" t="s">
        <v>33</v>
      </c>
      <c r="G121" s="32" t="s">
        <v>43</v>
      </c>
      <c r="H121" s="65" t="s">
        <v>238</v>
      </c>
      <c r="I121">
        <v>1</v>
      </c>
      <c r="J121" s="65" t="s">
        <v>53</v>
      </c>
      <c r="K121">
        <v>0</v>
      </c>
      <c r="L121" s="66">
        <v>189270</v>
      </c>
      <c r="M121" s="66"/>
      <c r="N121" s="66">
        <v>2</v>
      </c>
      <c r="O121" s="66">
        <v>378540</v>
      </c>
      <c r="P121" s="56">
        <f t="shared" si="43"/>
        <v>0</v>
      </c>
      <c r="Q121" s="1">
        <f>IFERROR(ROUND(X121-U121, 2), 0)</f>
        <v>189270</v>
      </c>
      <c r="R121" s="1">
        <f t="shared" si="40"/>
        <v>378540</v>
      </c>
      <c r="S121" s="56">
        <f t="shared" si="41"/>
        <v>0</v>
      </c>
      <c r="T121" s="56">
        <f t="shared" si="44"/>
        <v>0</v>
      </c>
      <c r="U121" s="2">
        <v>0</v>
      </c>
      <c r="V121" s="1">
        <f t="shared" si="42"/>
        <v>0</v>
      </c>
      <c r="W121" s="55">
        <v>0</v>
      </c>
      <c r="X121" s="1">
        <v>189270</v>
      </c>
      <c r="Y121" s="1">
        <v>378540</v>
      </c>
      <c r="Z121" s="65" t="s">
        <v>236</v>
      </c>
      <c r="AA121" s="65" t="s">
        <v>239</v>
      </c>
      <c r="AB121" s="65" t="s">
        <v>319</v>
      </c>
    </row>
    <row r="122" spans="1:28" ht="28.8" x14ac:dyDescent="0.3">
      <c r="A122" s="65"/>
      <c r="B122" s="41" t="s">
        <v>63</v>
      </c>
      <c r="C122" s="29" t="s">
        <v>18</v>
      </c>
      <c r="D122" s="65" t="s">
        <v>235</v>
      </c>
      <c r="E122" s="65" t="s">
        <v>307</v>
      </c>
      <c r="F122" s="65" t="s">
        <v>33</v>
      </c>
      <c r="G122" s="32" t="s">
        <v>43</v>
      </c>
      <c r="H122" s="65" t="s">
        <v>238</v>
      </c>
      <c r="I122">
        <v>1</v>
      </c>
      <c r="J122" s="65" t="s">
        <v>53</v>
      </c>
      <c r="K122">
        <v>-16575.96</v>
      </c>
      <c r="L122" s="66">
        <v>189270</v>
      </c>
      <c r="M122" s="66"/>
      <c r="N122" s="66">
        <v>2</v>
      </c>
      <c r="O122" s="66">
        <v>378540</v>
      </c>
      <c r="P122" s="56">
        <f t="shared" si="43"/>
        <v>-8.7578380091932112E-2</v>
      </c>
      <c r="Q122" s="1">
        <f>IFERROR(ROUND(X122-U122, 2), 0)</f>
        <v>205845.96</v>
      </c>
      <c r="R122" s="1">
        <f t="shared" si="40"/>
        <v>411691.92</v>
      </c>
      <c r="S122" s="56">
        <f t="shared" si="41"/>
        <v>-8.7578380091932112E-2</v>
      </c>
      <c r="T122" s="56">
        <f t="shared" si="44"/>
        <v>-8.0526039957257323E-2</v>
      </c>
      <c r="U122" s="2">
        <v>-16575.96</v>
      </c>
      <c r="V122" s="1">
        <f t="shared" si="42"/>
        <v>-33151.919999999998</v>
      </c>
      <c r="W122" s="55">
        <v>0</v>
      </c>
      <c r="X122" s="1">
        <v>189270</v>
      </c>
      <c r="Y122" s="1">
        <v>378540</v>
      </c>
      <c r="Z122" s="65" t="s">
        <v>236</v>
      </c>
      <c r="AA122" s="65" t="s">
        <v>239</v>
      </c>
      <c r="AB122" s="65" t="s">
        <v>320</v>
      </c>
    </row>
    <row r="123" spans="1:28" ht="28.8" x14ac:dyDescent="0.3">
      <c r="A123" s="65"/>
      <c r="B123" s="41" t="s">
        <v>63</v>
      </c>
      <c r="C123" s="29" t="s">
        <v>18</v>
      </c>
      <c r="D123" s="65" t="s">
        <v>235</v>
      </c>
      <c r="E123" s="65" t="s">
        <v>307</v>
      </c>
      <c r="F123" s="65" t="s">
        <v>33</v>
      </c>
      <c r="G123" s="32" t="s">
        <v>43</v>
      </c>
      <c r="H123" s="65" t="s">
        <v>238</v>
      </c>
      <c r="I123">
        <v>1</v>
      </c>
      <c r="J123" s="65" t="s">
        <v>53</v>
      </c>
      <c r="K123" s="1">
        <v>24427.26</v>
      </c>
      <c r="L123" s="66">
        <v>189270</v>
      </c>
      <c r="M123" s="66"/>
      <c r="N123" s="66">
        <v>2</v>
      </c>
      <c r="O123" s="66">
        <v>378540</v>
      </c>
      <c r="P123" s="56">
        <f t="shared" si="43"/>
        <v>0.12906038991916316</v>
      </c>
      <c r="Q123" s="1">
        <f>IFERROR(ROUND(X123-U123, 2), 0)</f>
        <v>164842.74</v>
      </c>
      <c r="R123" s="1">
        <f t="shared" si="40"/>
        <v>329685.48</v>
      </c>
      <c r="S123" s="56">
        <f t="shared" si="41"/>
        <v>0.12906038991916316</v>
      </c>
      <c r="T123" s="56">
        <f t="shared" si="44"/>
        <v>0.14818523399938638</v>
      </c>
      <c r="U123" s="2">
        <v>24427.26</v>
      </c>
      <c r="V123" s="1">
        <f t="shared" si="42"/>
        <v>48854.52</v>
      </c>
      <c r="W123" s="55">
        <v>0</v>
      </c>
      <c r="X123" s="1">
        <v>189270</v>
      </c>
      <c r="Y123" s="1">
        <v>378540</v>
      </c>
      <c r="Z123" s="65" t="s">
        <v>236</v>
      </c>
      <c r="AA123" s="65" t="s">
        <v>239</v>
      </c>
      <c r="AB123" s="65" t="s">
        <v>321</v>
      </c>
    </row>
    <row r="124" spans="1:28" ht="28.8" x14ac:dyDescent="0.3">
      <c r="A124" s="65" t="s">
        <v>322</v>
      </c>
      <c r="B124" s="41" t="s">
        <v>63</v>
      </c>
      <c r="C124" s="29" t="s">
        <v>18</v>
      </c>
      <c r="D124" t="s">
        <v>130</v>
      </c>
      <c r="E124" s="65" t="s">
        <v>307</v>
      </c>
      <c r="F124" s="65" t="s">
        <v>33</v>
      </c>
      <c r="G124" s="32" t="s">
        <v>43</v>
      </c>
      <c r="H124" s="65" t="s">
        <v>133</v>
      </c>
      <c r="I124">
        <v>1</v>
      </c>
      <c r="J124" t="s">
        <v>55</v>
      </c>
      <c r="K124">
        <v>36.89</v>
      </c>
      <c r="L124" s="1">
        <v>70</v>
      </c>
      <c r="M124" s="1">
        <v>36</v>
      </c>
      <c r="N124" s="1">
        <v>72</v>
      </c>
      <c r="O124" s="1">
        <v>181440</v>
      </c>
      <c r="P124" s="68">
        <v>0.59</v>
      </c>
      <c r="Q124" s="1">
        <v>1033.2</v>
      </c>
      <c r="R124" s="1">
        <v>74390.399999999994</v>
      </c>
      <c r="S124" s="56">
        <f t="shared" si="41"/>
        <v>0.35033985802046058</v>
      </c>
      <c r="T124" s="56">
        <f t="shared" si="44"/>
        <v>0.5392663569492836</v>
      </c>
      <c r="U124" s="1">
        <f t="shared" ref="U124:U183" si="45">X124-Q124</f>
        <v>557.16999999999985</v>
      </c>
      <c r="V124" s="1">
        <f t="shared" si="42"/>
        <v>40116.239999999998</v>
      </c>
      <c r="W124" s="62">
        <v>0.36890000000000001</v>
      </c>
      <c r="X124" s="1">
        <f>IFERROR(ROUND(M124*L124*(1-W124), 2), 0)</f>
        <v>1590.37</v>
      </c>
      <c r="Y124" s="1">
        <f t="shared" ref="Y124:Y132" si="46">IFERROR(ROUND(X124*N124, 2), 0)</f>
        <v>114506.64</v>
      </c>
      <c r="Z124" t="s">
        <v>131</v>
      </c>
      <c r="AA124" s="65" t="s">
        <v>134</v>
      </c>
      <c r="AB124" s="65" t="s">
        <v>323</v>
      </c>
    </row>
    <row r="125" spans="1:28" ht="28.8" x14ac:dyDescent="0.3">
      <c r="A125" s="65"/>
      <c r="B125" s="41" t="s">
        <v>63</v>
      </c>
      <c r="C125" s="29" t="s">
        <v>18</v>
      </c>
      <c r="D125" t="s">
        <v>130</v>
      </c>
      <c r="E125" s="65" t="s">
        <v>307</v>
      </c>
      <c r="F125" s="65" t="s">
        <v>33</v>
      </c>
      <c r="G125" s="32" t="s">
        <v>43</v>
      </c>
      <c r="H125" s="65" t="s">
        <v>133</v>
      </c>
      <c r="I125">
        <v>1</v>
      </c>
      <c r="J125" t="s">
        <v>55</v>
      </c>
      <c r="K125">
        <v>0</v>
      </c>
      <c r="L125" s="1">
        <v>70</v>
      </c>
      <c r="M125" s="1">
        <v>36</v>
      </c>
      <c r="N125" s="1">
        <v>72</v>
      </c>
      <c r="O125" s="1">
        <v>181440</v>
      </c>
      <c r="P125" s="68">
        <v>0.59</v>
      </c>
      <c r="Q125" s="1">
        <v>1033.2</v>
      </c>
      <c r="R125" s="1">
        <v>74390.399999999994</v>
      </c>
      <c r="S125" s="56">
        <f t="shared" si="41"/>
        <v>0.59</v>
      </c>
      <c r="T125" s="56">
        <f t="shared" si="44"/>
        <v>1.4390243902439024</v>
      </c>
      <c r="U125" s="1">
        <f t="shared" si="45"/>
        <v>1486.8</v>
      </c>
      <c r="V125" s="1">
        <f t="shared" si="42"/>
        <v>107049.60000000001</v>
      </c>
      <c r="W125" s="62">
        <v>0</v>
      </c>
      <c r="X125" s="1">
        <f>IFERROR(ROUND(M125*L125*(1-W125), 2), 0)</f>
        <v>2520</v>
      </c>
      <c r="Y125" s="1">
        <f t="shared" si="46"/>
        <v>181440</v>
      </c>
      <c r="Z125" t="s">
        <v>131</v>
      </c>
      <c r="AA125" s="65" t="s">
        <v>134</v>
      </c>
      <c r="AB125" s="65" t="s">
        <v>324</v>
      </c>
    </row>
    <row r="126" spans="1:28" ht="28.8" x14ac:dyDescent="0.3">
      <c r="A126" s="65"/>
      <c r="B126" s="41" t="s">
        <v>63</v>
      </c>
      <c r="C126" s="29" t="s">
        <v>18</v>
      </c>
      <c r="D126" t="s">
        <v>130</v>
      </c>
      <c r="E126" s="65" t="s">
        <v>307</v>
      </c>
      <c r="F126" s="65" t="s">
        <v>33</v>
      </c>
      <c r="G126" s="32" t="s">
        <v>43</v>
      </c>
      <c r="H126" s="65" t="s">
        <v>133</v>
      </c>
      <c r="I126">
        <v>1</v>
      </c>
      <c r="J126" t="s">
        <v>55</v>
      </c>
      <c r="K126">
        <v>-36.89</v>
      </c>
      <c r="L126" s="1">
        <v>70</v>
      </c>
      <c r="M126" s="1">
        <v>36</v>
      </c>
      <c r="N126" s="1">
        <v>72</v>
      </c>
      <c r="O126" s="1">
        <v>181440</v>
      </c>
      <c r="P126" s="68">
        <v>0.59</v>
      </c>
      <c r="Q126" s="1">
        <v>1033.2</v>
      </c>
      <c r="R126" s="1">
        <v>74390.399999999994</v>
      </c>
      <c r="S126" s="56">
        <f t="shared" si="41"/>
        <v>0.7004896177271186</v>
      </c>
      <c r="T126" s="56">
        <f t="shared" si="44"/>
        <v>2.3387824235385213</v>
      </c>
      <c r="U126" s="1">
        <f t="shared" si="45"/>
        <v>2416.4300000000003</v>
      </c>
      <c r="V126" s="1">
        <f t="shared" si="42"/>
        <v>173982.96</v>
      </c>
      <c r="W126" s="62">
        <v>-0.36890000000000001</v>
      </c>
      <c r="X126" s="1">
        <f>IFERROR(ROUND(M126*L126*(1-W126), 2), 0)</f>
        <v>3449.63</v>
      </c>
      <c r="Y126" s="1">
        <f t="shared" si="46"/>
        <v>248373.36</v>
      </c>
      <c r="Z126" t="s">
        <v>131</v>
      </c>
      <c r="AA126" s="65" t="s">
        <v>134</v>
      </c>
      <c r="AB126" s="65" t="s">
        <v>325</v>
      </c>
    </row>
    <row r="127" spans="1:28" ht="28.8" x14ac:dyDescent="0.3">
      <c r="A127" s="65"/>
      <c r="B127" s="41" t="s">
        <v>63</v>
      </c>
      <c r="C127" s="29" t="s">
        <v>18</v>
      </c>
      <c r="D127" t="s">
        <v>130</v>
      </c>
      <c r="E127" s="65" t="s">
        <v>307</v>
      </c>
      <c r="F127" s="65" t="s">
        <v>33</v>
      </c>
      <c r="G127" s="32" t="s">
        <v>43</v>
      </c>
      <c r="H127" s="65" t="s">
        <v>133</v>
      </c>
      <c r="I127">
        <v>1</v>
      </c>
      <c r="J127" t="s">
        <v>55</v>
      </c>
      <c r="K127">
        <v>200</v>
      </c>
      <c r="L127" s="1">
        <v>70</v>
      </c>
      <c r="M127" s="1">
        <v>36</v>
      </c>
      <c r="N127" s="1">
        <v>72</v>
      </c>
      <c r="O127" s="1">
        <v>181440</v>
      </c>
      <c r="P127" s="68">
        <v>0.59</v>
      </c>
      <c r="Q127" s="1">
        <v>1033.2</v>
      </c>
      <c r="R127" s="1">
        <v>74390.399999999994</v>
      </c>
      <c r="S127" s="56">
        <f t="shared" si="41"/>
        <v>1.41</v>
      </c>
      <c r="T127" s="56">
        <f t="shared" si="44"/>
        <v>-3.4390243902439019</v>
      </c>
      <c r="U127" s="1">
        <f t="shared" si="45"/>
        <v>-3553.2</v>
      </c>
      <c r="V127" s="1">
        <f t="shared" si="42"/>
        <v>-255830.39999999999</v>
      </c>
      <c r="W127" s="62">
        <v>2</v>
      </c>
      <c r="X127" s="1">
        <f>IFERROR(ROUND(M127*L127*(1-W127), 2), 0)</f>
        <v>-2520</v>
      </c>
      <c r="Y127" s="1">
        <f t="shared" si="46"/>
        <v>-181440</v>
      </c>
      <c r="Z127" t="s">
        <v>131</v>
      </c>
      <c r="AA127" s="65" t="s">
        <v>134</v>
      </c>
      <c r="AB127" s="65" t="s">
        <v>326</v>
      </c>
    </row>
    <row r="128" spans="1:28" ht="28.8" x14ac:dyDescent="0.3">
      <c r="A128" s="65"/>
      <c r="B128" s="41" t="s">
        <v>63</v>
      </c>
      <c r="C128" s="29" t="s">
        <v>18</v>
      </c>
      <c r="D128" t="s">
        <v>130</v>
      </c>
      <c r="E128" s="65" t="s">
        <v>307</v>
      </c>
      <c r="F128" s="65" t="s">
        <v>33</v>
      </c>
      <c r="G128" s="32" t="s">
        <v>43</v>
      </c>
      <c r="H128" s="65" t="s">
        <v>133</v>
      </c>
      <c r="I128">
        <v>1</v>
      </c>
      <c r="J128" t="s">
        <v>55</v>
      </c>
      <c r="K128">
        <v>100</v>
      </c>
      <c r="L128" s="1">
        <v>70</v>
      </c>
      <c r="M128" s="1">
        <v>36</v>
      </c>
      <c r="N128" s="1">
        <v>72</v>
      </c>
      <c r="O128" s="1">
        <v>181440</v>
      </c>
      <c r="P128" s="68">
        <v>0.59</v>
      </c>
      <c r="Q128" s="1">
        <v>1033.2</v>
      </c>
      <c r="R128" s="1">
        <v>74390.399999999994</v>
      </c>
      <c r="S128" s="56">
        <f t="shared" si="41"/>
        <v>0</v>
      </c>
      <c r="T128" s="56">
        <f t="shared" si="44"/>
        <v>-1</v>
      </c>
      <c r="U128" s="1">
        <f t="shared" si="45"/>
        <v>-1033.2</v>
      </c>
      <c r="V128" s="1">
        <f t="shared" si="42"/>
        <v>-74390.399999999994</v>
      </c>
      <c r="W128" s="62">
        <v>1</v>
      </c>
      <c r="X128" s="1">
        <f>IFERROR(ROUND(M128*L128*(1-W128), 2), 0)</f>
        <v>0</v>
      </c>
      <c r="Y128" s="1">
        <f t="shared" si="46"/>
        <v>0</v>
      </c>
      <c r="Z128" t="s">
        <v>131</v>
      </c>
      <c r="AA128" s="65" t="s">
        <v>134</v>
      </c>
      <c r="AB128" s="65" t="s">
        <v>327</v>
      </c>
    </row>
    <row r="129" spans="1:28" ht="28.8" x14ac:dyDescent="0.3">
      <c r="A129" s="65" t="s">
        <v>328</v>
      </c>
      <c r="B129" s="41" t="s">
        <v>63</v>
      </c>
      <c r="C129" s="29" t="s">
        <v>18</v>
      </c>
      <c r="D129" s="65" t="s">
        <v>110</v>
      </c>
      <c r="E129" s="65" t="s">
        <v>307</v>
      </c>
      <c r="F129" s="65" t="s">
        <v>33</v>
      </c>
      <c r="G129" s="32" t="s">
        <v>43</v>
      </c>
      <c r="H129" s="65" t="s">
        <v>192</v>
      </c>
      <c r="I129" s="65">
        <v>1</v>
      </c>
      <c r="J129" s="65" t="s">
        <v>56</v>
      </c>
      <c r="K129" s="65">
        <v>60851.25</v>
      </c>
      <c r="L129" s="57">
        <v>69846.12</v>
      </c>
      <c r="M129" s="58">
        <v>36</v>
      </c>
      <c r="N129" s="57">
        <v>2</v>
      </c>
      <c r="O129" s="66">
        <v>139692.24</v>
      </c>
      <c r="P129" s="67">
        <v>0.4</v>
      </c>
      <c r="Q129" s="58">
        <v>41907.599999999999</v>
      </c>
      <c r="R129" s="66">
        <v>83815.199999999997</v>
      </c>
      <c r="S129" s="56">
        <f t="shared" si="41"/>
        <v>0.311310778332409</v>
      </c>
      <c r="T129" s="56">
        <f t="shared" si="44"/>
        <v>0.4520337599862555</v>
      </c>
      <c r="U129" s="1">
        <f t="shared" si="45"/>
        <v>18943.650000000001</v>
      </c>
      <c r="V129" s="1">
        <f t="shared" si="42"/>
        <v>37887.300000000003</v>
      </c>
      <c r="W129" s="56">
        <f>IFERROR((L129-X129)/L129,0)</f>
        <v>0.12878124081910342</v>
      </c>
      <c r="X129" s="3">
        <v>60851.25</v>
      </c>
      <c r="Y129" s="1">
        <f t="shared" si="46"/>
        <v>121702.5</v>
      </c>
      <c r="Z129" s="65" t="s">
        <v>111</v>
      </c>
      <c r="AA129" s="65" t="s">
        <v>61</v>
      </c>
      <c r="AB129" s="65" t="s">
        <v>329</v>
      </c>
    </row>
    <row r="130" spans="1:28" ht="28.8" x14ac:dyDescent="0.3">
      <c r="A130" s="65"/>
      <c r="B130" s="41" t="s">
        <v>63</v>
      </c>
      <c r="C130" s="29" t="s">
        <v>18</v>
      </c>
      <c r="D130" s="65" t="s">
        <v>110</v>
      </c>
      <c r="E130" s="65" t="s">
        <v>307</v>
      </c>
      <c r="F130" s="65" t="s">
        <v>33</v>
      </c>
      <c r="G130" s="32" t="s">
        <v>43</v>
      </c>
      <c r="H130" s="65" t="s">
        <v>192</v>
      </c>
      <c r="I130" s="65">
        <v>1</v>
      </c>
      <c r="J130" s="65" t="s">
        <v>56</v>
      </c>
      <c r="K130" s="65">
        <v>0</v>
      </c>
      <c r="L130" s="57">
        <v>69846.12</v>
      </c>
      <c r="M130" s="58">
        <v>36</v>
      </c>
      <c r="N130" s="57">
        <v>2</v>
      </c>
      <c r="O130" s="66">
        <v>139692.24</v>
      </c>
      <c r="P130" s="67">
        <v>0.4</v>
      </c>
      <c r="Q130" s="58">
        <v>41907.599999999999</v>
      </c>
      <c r="R130" s="66">
        <v>83815.199999999997</v>
      </c>
      <c r="S130" s="56">
        <f t="shared" si="41"/>
        <v>0</v>
      </c>
      <c r="T130" s="56">
        <f t="shared" si="44"/>
        <v>-1</v>
      </c>
      <c r="U130" s="1">
        <f t="shared" si="45"/>
        <v>-41907.599999999999</v>
      </c>
      <c r="V130" s="1">
        <f t="shared" si="42"/>
        <v>-83815.199999999997</v>
      </c>
      <c r="W130" s="56">
        <f>IFERROR((L130-X130)/L130,0)</f>
        <v>1</v>
      </c>
      <c r="X130" s="3">
        <v>0</v>
      </c>
      <c r="Y130" s="1">
        <f t="shared" si="46"/>
        <v>0</v>
      </c>
      <c r="Z130" s="65" t="s">
        <v>111</v>
      </c>
      <c r="AA130" s="65" t="s">
        <v>61</v>
      </c>
      <c r="AB130" s="65" t="s">
        <v>330</v>
      </c>
    </row>
    <row r="131" spans="1:28" ht="28.8" x14ac:dyDescent="0.3">
      <c r="A131" s="65"/>
      <c r="B131" s="41" t="s">
        <v>63</v>
      </c>
      <c r="C131" s="29" t="s">
        <v>18</v>
      </c>
      <c r="D131" s="65" t="s">
        <v>110</v>
      </c>
      <c r="E131" s="65" t="s">
        <v>307</v>
      </c>
      <c r="F131" s="65" t="s">
        <v>33</v>
      </c>
      <c r="G131" s="32" t="s">
        <v>43</v>
      </c>
      <c r="H131" s="65" t="s">
        <v>192</v>
      </c>
      <c r="I131" s="65">
        <v>1</v>
      </c>
      <c r="J131" s="65" t="s">
        <v>56</v>
      </c>
      <c r="K131" s="65">
        <v>-60851.25</v>
      </c>
      <c r="L131" s="57">
        <v>69846.12</v>
      </c>
      <c r="M131" s="58">
        <v>36</v>
      </c>
      <c r="N131" s="57">
        <v>2</v>
      </c>
      <c r="O131" s="66">
        <v>139692.24</v>
      </c>
      <c r="P131" s="67">
        <v>0.4</v>
      </c>
      <c r="Q131" s="58">
        <v>41907.599999999999</v>
      </c>
      <c r="R131" s="66">
        <v>83815.199999999997</v>
      </c>
      <c r="S131" s="56">
        <f t="shared" si="41"/>
        <v>1.6886892216675911</v>
      </c>
      <c r="T131" s="56">
        <f t="shared" si="44"/>
        <v>-2.4520337599862558</v>
      </c>
      <c r="U131" s="1">
        <f t="shared" si="45"/>
        <v>-102758.85</v>
      </c>
      <c r="V131" s="1">
        <f t="shared" si="42"/>
        <v>-205517.7</v>
      </c>
      <c r="W131" s="56">
        <f>IFERROR((L131-X131)/L131,0)</f>
        <v>1.8712187591808966</v>
      </c>
      <c r="X131" s="3">
        <v>-60851.25</v>
      </c>
      <c r="Y131" s="1">
        <f t="shared" si="46"/>
        <v>-121702.5</v>
      </c>
      <c r="Z131" s="65" t="s">
        <v>111</v>
      </c>
      <c r="AA131" s="65" t="s">
        <v>61</v>
      </c>
      <c r="AB131" s="65" t="s">
        <v>331</v>
      </c>
    </row>
    <row r="132" spans="1:28" ht="28.8" x14ac:dyDescent="0.3">
      <c r="A132" s="65"/>
      <c r="B132" s="41" t="s">
        <v>63</v>
      </c>
      <c r="C132" s="29" t="s">
        <v>18</v>
      </c>
      <c r="D132" s="65" t="s">
        <v>110</v>
      </c>
      <c r="E132" s="65" t="s">
        <v>307</v>
      </c>
      <c r="F132" s="65" t="s">
        <v>33</v>
      </c>
      <c r="G132" s="32" t="s">
        <v>43</v>
      </c>
      <c r="H132" s="65" t="s">
        <v>192</v>
      </c>
      <c r="I132" s="65">
        <v>1</v>
      </c>
      <c r="J132" s="65" t="s">
        <v>56</v>
      </c>
      <c r="K132" s="66">
        <v>139692.24</v>
      </c>
      <c r="L132" s="57">
        <v>69846.12</v>
      </c>
      <c r="M132" s="58">
        <v>36</v>
      </c>
      <c r="N132" s="57">
        <v>2</v>
      </c>
      <c r="O132" s="66">
        <v>139692.24</v>
      </c>
      <c r="P132" s="67">
        <v>0.4</v>
      </c>
      <c r="Q132" s="58">
        <v>41907.599999999999</v>
      </c>
      <c r="R132" s="66">
        <v>83815.199999999997</v>
      </c>
      <c r="S132" s="56">
        <f t="shared" si="41"/>
        <v>0.70000051541875186</v>
      </c>
      <c r="T132" s="56">
        <f t="shared" si="44"/>
        <v>2.333339060218194</v>
      </c>
      <c r="U132" s="1">
        <f t="shared" si="45"/>
        <v>97784.639999999985</v>
      </c>
      <c r="V132" s="1">
        <f t="shared" si="42"/>
        <v>195569.28</v>
      </c>
      <c r="W132" s="56">
        <f>IFERROR((L132-X132)/L132,0)</f>
        <v>-1</v>
      </c>
      <c r="X132" s="3">
        <v>139692.24</v>
      </c>
      <c r="Y132" s="1">
        <f t="shared" si="46"/>
        <v>279384.48</v>
      </c>
      <c r="Z132" s="65" t="s">
        <v>111</v>
      </c>
      <c r="AA132" s="65" t="s">
        <v>61</v>
      </c>
      <c r="AB132" s="65" t="s">
        <v>332</v>
      </c>
    </row>
    <row r="133" spans="1:28" ht="28.8" x14ac:dyDescent="0.3">
      <c r="A133" s="65" t="s">
        <v>333</v>
      </c>
      <c r="B133" s="41" t="s">
        <v>63</v>
      </c>
      <c r="C133" s="29" t="s">
        <v>18</v>
      </c>
      <c r="D133" t="s">
        <v>130</v>
      </c>
      <c r="E133" s="65" t="s">
        <v>307</v>
      </c>
      <c r="F133" s="65" t="s">
        <v>33</v>
      </c>
      <c r="G133" s="32" t="s">
        <v>43</v>
      </c>
      <c r="H133" s="65" t="s">
        <v>133</v>
      </c>
      <c r="I133">
        <v>1</v>
      </c>
      <c r="J133" t="s">
        <v>51</v>
      </c>
      <c r="K133">
        <v>34.824896000000003</v>
      </c>
      <c r="L133" s="1">
        <v>70</v>
      </c>
      <c r="M133" s="1">
        <v>36</v>
      </c>
      <c r="N133" s="1">
        <v>72</v>
      </c>
      <c r="O133" s="1">
        <v>181440</v>
      </c>
      <c r="P133" s="56">
        <f>IFERROR((M133*L133-Q133)/(L133*M133),0)</f>
        <v>0.34824999999999995</v>
      </c>
      <c r="Q133" s="1">
        <f>IFERROR(ROUND(X133*(1-S133), 2), 0)</f>
        <v>1642.41</v>
      </c>
      <c r="R133" s="1">
        <f t="shared" ref="R133:R146" si="47">IFERROR(ROUND(Q133*N133, 2), 0)</f>
        <v>118253.52</v>
      </c>
      <c r="S133" s="64">
        <v>0.34824896</v>
      </c>
      <c r="T133" s="56">
        <f t="shared" si="44"/>
        <v>0.53433064825469878</v>
      </c>
      <c r="U133" s="1">
        <f t="shared" si="45"/>
        <v>877.58999999999992</v>
      </c>
      <c r="V133" s="1">
        <f>ROUND(U133*N133, 2)</f>
        <v>63186.48</v>
      </c>
      <c r="W133" s="55">
        <v>0</v>
      </c>
      <c r="X133" s="1">
        <v>2520</v>
      </c>
      <c r="Y133" s="1">
        <v>181440</v>
      </c>
      <c r="Z133" t="s">
        <v>131</v>
      </c>
      <c r="AA133" s="65" t="s">
        <v>134</v>
      </c>
      <c r="AB133" s="65" t="s">
        <v>334</v>
      </c>
    </row>
    <row r="134" spans="1:28" ht="28.8" x14ac:dyDescent="0.3">
      <c r="A134" s="65"/>
      <c r="B134" s="41" t="s">
        <v>63</v>
      </c>
      <c r="C134" s="29" t="s">
        <v>18</v>
      </c>
      <c r="D134" t="s">
        <v>130</v>
      </c>
      <c r="E134" s="65" t="s">
        <v>307</v>
      </c>
      <c r="F134" s="65" t="s">
        <v>33</v>
      </c>
      <c r="G134" s="32" t="s">
        <v>43</v>
      </c>
      <c r="H134" s="65" t="s">
        <v>133</v>
      </c>
      <c r="I134">
        <v>1</v>
      </c>
      <c r="J134" t="s">
        <v>51</v>
      </c>
      <c r="K134">
        <v>0</v>
      </c>
      <c r="L134" s="1">
        <v>70</v>
      </c>
      <c r="M134" s="1">
        <v>36</v>
      </c>
      <c r="N134" s="1">
        <v>72</v>
      </c>
      <c r="O134" s="1">
        <v>181440</v>
      </c>
      <c r="P134" s="56">
        <f>IFERROR((M134*L134-Q134)/(L134*M134),0)</f>
        <v>0</v>
      </c>
      <c r="Q134" s="1">
        <f>IFERROR(ROUND(X134*(1-S134), 2), 0)</f>
        <v>2520</v>
      </c>
      <c r="R134" s="1">
        <f t="shared" si="47"/>
        <v>181440</v>
      </c>
      <c r="S134" s="64">
        <v>0</v>
      </c>
      <c r="T134" s="56">
        <f t="shared" si="44"/>
        <v>0</v>
      </c>
      <c r="U134" s="1">
        <f t="shared" si="45"/>
        <v>0</v>
      </c>
      <c r="V134" s="1">
        <f>ROUND(U134*N134, 2)</f>
        <v>0</v>
      </c>
      <c r="W134" s="55">
        <v>0</v>
      </c>
      <c r="X134" s="1">
        <v>2520</v>
      </c>
      <c r="Y134" s="1">
        <v>181440</v>
      </c>
      <c r="Z134" t="s">
        <v>131</v>
      </c>
      <c r="AA134" s="65" t="s">
        <v>134</v>
      </c>
      <c r="AB134" s="65" t="s">
        <v>335</v>
      </c>
    </row>
    <row r="135" spans="1:28" ht="28.8" x14ac:dyDescent="0.3">
      <c r="A135" s="65"/>
      <c r="B135" s="41" t="s">
        <v>63</v>
      </c>
      <c r="C135" s="29" t="s">
        <v>18</v>
      </c>
      <c r="D135" t="s">
        <v>130</v>
      </c>
      <c r="E135" s="65" t="s">
        <v>307</v>
      </c>
      <c r="F135" s="65" t="s">
        <v>33</v>
      </c>
      <c r="G135" s="32" t="s">
        <v>43</v>
      </c>
      <c r="H135" s="65" t="s">
        <v>133</v>
      </c>
      <c r="I135">
        <v>1</v>
      </c>
      <c r="J135" t="s">
        <v>51</v>
      </c>
      <c r="K135">
        <v>-34.824896000000003</v>
      </c>
      <c r="L135" s="1">
        <v>70</v>
      </c>
      <c r="M135" s="1">
        <v>36</v>
      </c>
      <c r="N135" s="1">
        <v>72</v>
      </c>
      <c r="O135" s="1">
        <v>181440</v>
      </c>
      <c r="P135" s="56">
        <f>IFERROR((M135*L135-Q135)/(L135*M135),0)</f>
        <v>-0.34825000000000006</v>
      </c>
      <c r="Q135" s="1">
        <f>IFERROR(ROUND(X135*(1-S135), 2), 0)</f>
        <v>3397.59</v>
      </c>
      <c r="R135" s="1">
        <f t="shared" si="47"/>
        <v>244626.48</v>
      </c>
      <c r="S135" s="64">
        <v>-0.34824896</v>
      </c>
      <c r="T135" s="56">
        <f t="shared" si="44"/>
        <v>-0.25829779343593551</v>
      </c>
      <c r="U135" s="1">
        <f t="shared" si="45"/>
        <v>-877.59000000000015</v>
      </c>
      <c r="V135" s="1">
        <f>ROUND(U135*N135, 2)</f>
        <v>-63186.48</v>
      </c>
      <c r="W135" s="55">
        <v>0</v>
      </c>
      <c r="X135" s="1">
        <v>2520</v>
      </c>
      <c r="Y135" s="1">
        <v>181440</v>
      </c>
      <c r="Z135" t="s">
        <v>131</v>
      </c>
      <c r="AA135" s="65" t="s">
        <v>134</v>
      </c>
      <c r="AB135" s="65" t="s">
        <v>336</v>
      </c>
    </row>
    <row r="136" spans="1:28" ht="28.8" x14ac:dyDescent="0.3">
      <c r="A136" s="65"/>
      <c r="B136" s="41" t="s">
        <v>63</v>
      </c>
      <c r="C136" s="29" t="s">
        <v>18</v>
      </c>
      <c r="D136" t="s">
        <v>130</v>
      </c>
      <c r="E136" s="65" t="s">
        <v>307</v>
      </c>
      <c r="F136" s="65" t="s">
        <v>33</v>
      </c>
      <c r="G136" s="32" t="s">
        <v>43</v>
      </c>
      <c r="H136" s="65" t="s">
        <v>133</v>
      </c>
      <c r="I136">
        <v>1</v>
      </c>
      <c r="J136" t="s">
        <v>51</v>
      </c>
      <c r="K136">
        <v>200</v>
      </c>
      <c r="L136" s="1">
        <v>70</v>
      </c>
      <c r="M136" s="1">
        <v>36</v>
      </c>
      <c r="N136" s="1">
        <v>72</v>
      </c>
      <c r="O136" s="1">
        <v>181440</v>
      </c>
      <c r="P136" s="56">
        <f>IFERROR((M136*L136-Q136)/(L136*M136),0)</f>
        <v>2</v>
      </c>
      <c r="Q136" s="1">
        <f>IFERROR(ROUND(X136*(1-S136), 2), 0)</f>
        <v>-2520</v>
      </c>
      <c r="R136" s="1">
        <f t="shared" si="47"/>
        <v>-181440</v>
      </c>
      <c r="S136" s="64">
        <v>2</v>
      </c>
      <c r="T136" s="56">
        <f t="shared" si="44"/>
        <v>-2</v>
      </c>
      <c r="U136" s="1">
        <f t="shared" si="45"/>
        <v>5040</v>
      </c>
      <c r="V136" s="1">
        <f>ROUND(U136*N136, 2)</f>
        <v>362880</v>
      </c>
      <c r="W136" s="55">
        <v>0</v>
      </c>
      <c r="X136" s="1">
        <v>2520</v>
      </c>
      <c r="Y136" s="1">
        <v>181440</v>
      </c>
      <c r="Z136" t="s">
        <v>131</v>
      </c>
      <c r="AA136" s="65" t="s">
        <v>134</v>
      </c>
      <c r="AB136" s="65" t="s">
        <v>337</v>
      </c>
    </row>
    <row r="137" spans="1:28" ht="28.8" x14ac:dyDescent="0.3">
      <c r="A137" s="65"/>
      <c r="B137" s="41" t="s">
        <v>63</v>
      </c>
      <c r="C137" s="29" t="s">
        <v>18</v>
      </c>
      <c r="D137" t="s">
        <v>130</v>
      </c>
      <c r="E137" s="65" t="s">
        <v>307</v>
      </c>
      <c r="F137" s="65" t="s">
        <v>33</v>
      </c>
      <c r="G137" s="32" t="s">
        <v>43</v>
      </c>
      <c r="H137" s="65" t="s">
        <v>133</v>
      </c>
      <c r="I137">
        <v>1</v>
      </c>
      <c r="J137" t="s">
        <v>51</v>
      </c>
      <c r="K137">
        <v>100</v>
      </c>
      <c r="L137" s="1">
        <v>70</v>
      </c>
      <c r="M137" s="1">
        <v>36</v>
      </c>
      <c r="N137" s="1">
        <v>72</v>
      </c>
      <c r="O137" s="1">
        <v>181440</v>
      </c>
      <c r="P137" s="56">
        <f>IFERROR((M137*L137-Q137)/(L137*M137),0)</f>
        <v>1</v>
      </c>
      <c r="Q137" s="1">
        <f>IFERROR(ROUND(X137*(1-S137), 2), 0)</f>
        <v>0</v>
      </c>
      <c r="R137" s="1">
        <f t="shared" si="47"/>
        <v>0</v>
      </c>
      <c r="S137" s="64">
        <v>1</v>
      </c>
      <c r="T137" s="56">
        <f t="shared" si="44"/>
        <v>0</v>
      </c>
      <c r="U137" s="1">
        <f t="shared" si="45"/>
        <v>2520</v>
      </c>
      <c r="V137" s="1">
        <f>ROUND(U137*N137, 2)</f>
        <v>181440</v>
      </c>
      <c r="W137" s="55">
        <v>0</v>
      </c>
      <c r="X137" s="1">
        <v>2520</v>
      </c>
      <c r="Y137" s="1">
        <v>181440</v>
      </c>
      <c r="Z137" t="s">
        <v>131</v>
      </c>
      <c r="AA137" s="65" t="s">
        <v>134</v>
      </c>
      <c r="AB137" s="65" t="s">
        <v>338</v>
      </c>
    </row>
    <row r="138" spans="1:28" ht="28.8" x14ac:dyDescent="0.3">
      <c r="A138" s="65" t="s">
        <v>339</v>
      </c>
      <c r="B138" s="41" t="s">
        <v>63</v>
      </c>
      <c r="C138" s="29" t="s">
        <v>18</v>
      </c>
      <c r="D138" s="65" t="s">
        <v>110</v>
      </c>
      <c r="E138" s="65" t="s">
        <v>307</v>
      </c>
      <c r="F138" s="65" t="s">
        <v>33</v>
      </c>
      <c r="G138" s="32" t="s">
        <v>43</v>
      </c>
      <c r="H138" s="65" t="s">
        <v>192</v>
      </c>
      <c r="I138" s="65">
        <v>1</v>
      </c>
      <c r="J138" t="s">
        <v>39</v>
      </c>
      <c r="K138" s="65">
        <v>56.879853099999998</v>
      </c>
      <c r="L138" s="57">
        <v>69846.12</v>
      </c>
      <c r="M138" s="58">
        <v>36</v>
      </c>
      <c r="N138" s="57">
        <v>2</v>
      </c>
      <c r="O138" s="66">
        <v>139692.24</v>
      </c>
      <c r="P138" s="62">
        <v>0.568798531</v>
      </c>
      <c r="Q138" s="1">
        <f>IFERROR(ROUND(L138*(1-P138), 2), 0)</f>
        <v>30117.75</v>
      </c>
      <c r="R138" s="1">
        <f t="shared" si="47"/>
        <v>60235.5</v>
      </c>
      <c r="S138" s="56">
        <f t="shared" ref="S138:S142" si="48">IFERROR((X138-Q138)/X138,0)</f>
        <v>0.56879852452791935</v>
      </c>
      <c r="T138" s="56">
        <f t="shared" si="44"/>
        <v>1.3191015265084542</v>
      </c>
      <c r="U138" s="1">
        <f t="shared" si="45"/>
        <v>39728.369999999995</v>
      </c>
      <c r="V138" s="1">
        <f t="shared" ref="V138:V164" si="49">ROUND(U138*N138, 2)</f>
        <v>79456.740000000005</v>
      </c>
      <c r="W138" s="55">
        <v>0</v>
      </c>
      <c r="X138" s="1">
        <v>69846.12</v>
      </c>
      <c r="Y138" s="1">
        <v>139692.24</v>
      </c>
      <c r="Z138" s="65" t="s">
        <v>111</v>
      </c>
      <c r="AA138" s="65" t="s">
        <v>61</v>
      </c>
      <c r="AB138" s="65" t="s">
        <v>340</v>
      </c>
    </row>
    <row r="139" spans="1:28" ht="28.8" x14ac:dyDescent="0.3">
      <c r="A139" s="65"/>
      <c r="B139" s="41" t="s">
        <v>63</v>
      </c>
      <c r="C139" s="29" t="s">
        <v>18</v>
      </c>
      <c r="D139" s="65" t="s">
        <v>110</v>
      </c>
      <c r="E139" s="65" t="s">
        <v>307</v>
      </c>
      <c r="F139" s="65" t="s">
        <v>33</v>
      </c>
      <c r="G139" s="32" t="s">
        <v>43</v>
      </c>
      <c r="H139" s="65" t="s">
        <v>192</v>
      </c>
      <c r="I139" s="65">
        <v>1</v>
      </c>
      <c r="J139" t="s">
        <v>39</v>
      </c>
      <c r="K139" s="65">
        <v>0</v>
      </c>
      <c r="L139" s="57">
        <v>69846.12</v>
      </c>
      <c r="M139" s="58">
        <v>36</v>
      </c>
      <c r="N139" s="57">
        <v>2</v>
      </c>
      <c r="O139" s="66">
        <v>139692.24</v>
      </c>
      <c r="P139" s="62">
        <v>0</v>
      </c>
      <c r="Q139" s="1">
        <f>IFERROR(ROUND(L139*(1-P139), 2), 0)</f>
        <v>69846.12</v>
      </c>
      <c r="R139" s="1">
        <f t="shared" si="47"/>
        <v>139692.24</v>
      </c>
      <c r="S139" s="56">
        <f t="shared" si="48"/>
        <v>0</v>
      </c>
      <c r="T139" s="56">
        <f t="shared" si="44"/>
        <v>0</v>
      </c>
      <c r="U139" s="1">
        <f t="shared" si="45"/>
        <v>0</v>
      </c>
      <c r="V139" s="1">
        <f t="shared" si="49"/>
        <v>0</v>
      </c>
      <c r="W139" s="55">
        <v>0</v>
      </c>
      <c r="X139" s="1">
        <v>69846.12</v>
      </c>
      <c r="Y139" s="1">
        <v>139692.24</v>
      </c>
      <c r="Z139" s="65" t="s">
        <v>111</v>
      </c>
      <c r="AA139" s="65" t="s">
        <v>61</v>
      </c>
      <c r="AB139" s="65" t="s">
        <v>341</v>
      </c>
    </row>
    <row r="140" spans="1:28" ht="28.8" x14ac:dyDescent="0.3">
      <c r="A140" s="65"/>
      <c r="B140" s="41" t="s">
        <v>63</v>
      </c>
      <c r="C140" s="29" t="s">
        <v>18</v>
      </c>
      <c r="D140" s="65" t="s">
        <v>110</v>
      </c>
      <c r="E140" s="65" t="s">
        <v>307</v>
      </c>
      <c r="F140" s="65" t="s">
        <v>33</v>
      </c>
      <c r="G140" s="32" t="s">
        <v>43</v>
      </c>
      <c r="H140" s="65" t="s">
        <v>192</v>
      </c>
      <c r="I140" s="65">
        <v>1</v>
      </c>
      <c r="J140" t="s">
        <v>39</v>
      </c>
      <c r="K140" s="65">
        <v>-56.879853099999998</v>
      </c>
      <c r="L140" s="57">
        <v>69846.12</v>
      </c>
      <c r="M140" s="58">
        <v>36</v>
      </c>
      <c r="N140" s="57">
        <v>2</v>
      </c>
      <c r="O140" s="66">
        <v>139692.24</v>
      </c>
      <c r="P140" s="62">
        <v>-0.568798531</v>
      </c>
      <c r="Q140" s="1">
        <f>IFERROR(ROUND(L140*(1-P140), 2), 0)</f>
        <v>109574.49</v>
      </c>
      <c r="R140" s="1">
        <f t="shared" si="47"/>
        <v>219148.98</v>
      </c>
      <c r="S140" s="56">
        <f t="shared" si="48"/>
        <v>-0.56879852452791957</v>
      </c>
      <c r="T140" s="56">
        <f t="shared" si="44"/>
        <v>-0.36256951777735863</v>
      </c>
      <c r="U140" s="1">
        <f t="shared" si="45"/>
        <v>-39728.37000000001</v>
      </c>
      <c r="V140" s="1">
        <f t="shared" si="49"/>
        <v>-79456.740000000005</v>
      </c>
      <c r="W140" s="55">
        <v>0</v>
      </c>
      <c r="X140" s="1">
        <v>69846.12</v>
      </c>
      <c r="Y140" s="1">
        <v>139692.24</v>
      </c>
      <c r="Z140" s="65" t="s">
        <v>111</v>
      </c>
      <c r="AA140" s="65" t="s">
        <v>61</v>
      </c>
      <c r="AB140" s="65" t="s">
        <v>342</v>
      </c>
    </row>
    <row r="141" spans="1:28" ht="28.8" x14ac:dyDescent="0.3">
      <c r="A141" s="65"/>
      <c r="B141" s="41" t="s">
        <v>63</v>
      </c>
      <c r="C141" s="29" t="s">
        <v>18</v>
      </c>
      <c r="D141" s="65" t="s">
        <v>110</v>
      </c>
      <c r="E141" s="65" t="s">
        <v>307</v>
      </c>
      <c r="F141" s="65" t="s">
        <v>33</v>
      </c>
      <c r="G141" s="32" t="s">
        <v>43</v>
      </c>
      <c r="H141" s="65" t="s">
        <v>192</v>
      </c>
      <c r="I141" s="65">
        <v>1</v>
      </c>
      <c r="J141" t="s">
        <v>39</v>
      </c>
      <c r="K141" s="65">
        <v>200</v>
      </c>
      <c r="L141" s="57">
        <v>69846.12</v>
      </c>
      <c r="M141" s="58">
        <v>36</v>
      </c>
      <c r="N141" s="57">
        <v>2</v>
      </c>
      <c r="O141" s="66">
        <v>139692.24</v>
      </c>
      <c r="P141" s="62">
        <v>2</v>
      </c>
      <c r="Q141" s="1">
        <f>IFERROR(ROUND(L141*(1-P141), 2), 0)</f>
        <v>-69846.12</v>
      </c>
      <c r="R141" s="1">
        <f t="shared" si="47"/>
        <v>-139692.24</v>
      </c>
      <c r="S141" s="56">
        <f t="shared" si="48"/>
        <v>2</v>
      </c>
      <c r="T141" s="56">
        <f t="shared" si="44"/>
        <v>-2</v>
      </c>
      <c r="U141" s="1">
        <f t="shared" si="45"/>
        <v>139692.24</v>
      </c>
      <c r="V141" s="1">
        <f t="shared" si="49"/>
        <v>279384.48</v>
      </c>
      <c r="W141" s="55">
        <v>0</v>
      </c>
      <c r="X141" s="1">
        <v>69846.12</v>
      </c>
      <c r="Y141" s="1">
        <v>139692.24</v>
      </c>
      <c r="Z141" s="65" t="s">
        <v>111</v>
      </c>
      <c r="AA141" s="65" t="s">
        <v>61</v>
      </c>
      <c r="AB141" s="65" t="s">
        <v>343</v>
      </c>
    </row>
    <row r="142" spans="1:28" ht="28.8" x14ac:dyDescent="0.3">
      <c r="A142" s="65"/>
      <c r="B142" s="41" t="s">
        <v>63</v>
      </c>
      <c r="C142" s="29" t="s">
        <v>18</v>
      </c>
      <c r="D142" s="65" t="s">
        <v>110</v>
      </c>
      <c r="E142" s="65" t="s">
        <v>307</v>
      </c>
      <c r="F142" s="65" t="s">
        <v>33</v>
      </c>
      <c r="G142" s="32" t="s">
        <v>43</v>
      </c>
      <c r="H142" s="65" t="s">
        <v>192</v>
      </c>
      <c r="I142" s="65">
        <v>1</v>
      </c>
      <c r="J142" t="s">
        <v>39</v>
      </c>
      <c r="K142" s="65">
        <v>100</v>
      </c>
      <c r="L142" s="57">
        <v>69846.12</v>
      </c>
      <c r="M142" s="58">
        <v>36</v>
      </c>
      <c r="N142" s="57">
        <v>2</v>
      </c>
      <c r="O142" s="66">
        <v>139692.24</v>
      </c>
      <c r="P142" s="62">
        <v>1</v>
      </c>
      <c r="Q142" s="1">
        <f>IFERROR(ROUND(L142*(1-P142), 2), 0)</f>
        <v>0</v>
      </c>
      <c r="R142" s="1">
        <f t="shared" si="47"/>
        <v>0</v>
      </c>
      <c r="S142" s="56">
        <f t="shared" si="48"/>
        <v>1</v>
      </c>
      <c r="T142" s="56">
        <f t="shared" si="44"/>
        <v>0</v>
      </c>
      <c r="U142" s="1">
        <f t="shared" si="45"/>
        <v>69846.12</v>
      </c>
      <c r="V142" s="1">
        <f t="shared" si="49"/>
        <v>139692.24</v>
      </c>
      <c r="W142" s="55">
        <v>0</v>
      </c>
      <c r="X142" s="1">
        <v>69846.12</v>
      </c>
      <c r="Y142" s="1">
        <v>139692.24</v>
      </c>
      <c r="Z142" s="65" t="s">
        <v>111</v>
      </c>
      <c r="AA142" s="65" t="s">
        <v>61</v>
      </c>
      <c r="AB142" s="65" t="s">
        <v>344</v>
      </c>
    </row>
    <row r="143" spans="1:28" ht="28.8" x14ac:dyDescent="0.3">
      <c r="A143" s="65" t="s">
        <v>345</v>
      </c>
      <c r="B143" s="41" t="s">
        <v>63</v>
      </c>
      <c r="C143" s="29" t="s">
        <v>18</v>
      </c>
      <c r="D143" s="65" t="s">
        <v>110</v>
      </c>
      <c r="E143" s="65" t="s">
        <v>347</v>
      </c>
      <c r="F143" s="65" t="s">
        <v>33</v>
      </c>
      <c r="G143" s="32" t="s">
        <v>43</v>
      </c>
      <c r="H143" s="65" t="s">
        <v>114</v>
      </c>
      <c r="I143">
        <v>1</v>
      </c>
      <c r="J143" s="65" t="s">
        <v>49</v>
      </c>
      <c r="K143">
        <v>10959.84</v>
      </c>
      <c r="L143" s="1">
        <v>12213.63</v>
      </c>
      <c r="M143" s="1"/>
      <c r="N143" s="1">
        <v>2</v>
      </c>
      <c r="O143" s="1">
        <v>24427.26</v>
      </c>
      <c r="P143" s="56">
        <f>IFERROR((L143-Q143)/L143,0)</f>
        <v>0.10265498463601723</v>
      </c>
      <c r="Q143" s="2">
        <v>10959.84</v>
      </c>
      <c r="R143" s="1">
        <f t="shared" si="47"/>
        <v>21919.68</v>
      </c>
      <c r="S143" s="60">
        <v>1.0000302940239699E-2</v>
      </c>
      <c r="T143" s="60">
        <v>1.0101319192258301E-2</v>
      </c>
      <c r="U143" s="1">
        <f t="shared" si="45"/>
        <v>110.70999999999913</v>
      </c>
      <c r="V143" s="1">
        <f t="shared" si="49"/>
        <v>221.42</v>
      </c>
      <c r="W143" s="56">
        <f>IFERROR((L143-X143)/(L143),0)</f>
        <v>9.3590521409277996E-2</v>
      </c>
      <c r="X143" s="1">
        <f>IFERROR(ROUND(Q143/(1-S143), 2), 0)</f>
        <v>11070.55</v>
      </c>
      <c r="Y143" s="1">
        <f t="shared" ref="Y143:Y178" si="50">IFERROR(ROUND(X143*N143, 2), 0)</f>
        <v>22141.1</v>
      </c>
      <c r="Z143" s="65" t="s">
        <v>111</v>
      </c>
      <c r="AA143" s="65" t="s">
        <v>115</v>
      </c>
      <c r="AB143" s="65" t="s">
        <v>346</v>
      </c>
    </row>
    <row r="144" spans="1:28" ht="28.8" x14ac:dyDescent="0.3">
      <c r="A144" s="65"/>
      <c r="B144" s="41" t="s">
        <v>63</v>
      </c>
      <c r="C144" s="29" t="s">
        <v>18</v>
      </c>
      <c r="D144" s="65" t="s">
        <v>110</v>
      </c>
      <c r="E144" s="65" t="s">
        <v>347</v>
      </c>
      <c r="F144" s="65" t="s">
        <v>33</v>
      </c>
      <c r="G144" s="32" t="s">
        <v>43</v>
      </c>
      <c r="H144" s="65" t="s">
        <v>114</v>
      </c>
      <c r="I144">
        <v>1</v>
      </c>
      <c r="J144" s="65" t="s">
        <v>49</v>
      </c>
      <c r="K144">
        <v>0</v>
      </c>
      <c r="L144" s="1">
        <v>12213.63</v>
      </c>
      <c r="M144" s="1"/>
      <c r="N144" s="1">
        <v>2</v>
      </c>
      <c r="O144" s="1">
        <v>24427.26</v>
      </c>
      <c r="P144" s="56">
        <f>IFERROR((L144-Q144)/L144,0)</f>
        <v>1</v>
      </c>
      <c r="Q144" s="2">
        <v>0</v>
      </c>
      <c r="R144" s="1">
        <f t="shared" si="47"/>
        <v>0</v>
      </c>
      <c r="S144" s="60">
        <v>1.0000302940239699E-2</v>
      </c>
      <c r="T144" s="60">
        <v>1.0101319192258301E-2</v>
      </c>
      <c r="U144" s="1">
        <f t="shared" si="45"/>
        <v>0</v>
      </c>
      <c r="V144" s="1">
        <f t="shared" si="49"/>
        <v>0</v>
      </c>
      <c r="W144" s="56">
        <f>IFERROR((L144-X144)/(L144),0)</f>
        <v>1</v>
      </c>
      <c r="X144" s="1">
        <f>IFERROR(ROUND(Q144/(1-S144), 2), 0)</f>
        <v>0</v>
      </c>
      <c r="Y144" s="1">
        <f t="shared" si="50"/>
        <v>0</v>
      </c>
      <c r="Z144" s="65" t="s">
        <v>111</v>
      </c>
      <c r="AA144" s="65" t="s">
        <v>115</v>
      </c>
      <c r="AB144" s="65" t="s">
        <v>348</v>
      </c>
    </row>
    <row r="145" spans="1:28" ht="28.8" x14ac:dyDescent="0.3">
      <c r="A145" s="65"/>
      <c r="B145" s="41" t="s">
        <v>63</v>
      </c>
      <c r="C145" s="29" t="s">
        <v>18</v>
      </c>
      <c r="D145" s="65" t="s">
        <v>110</v>
      </c>
      <c r="E145" s="65" t="s">
        <v>347</v>
      </c>
      <c r="F145" s="65" t="s">
        <v>33</v>
      </c>
      <c r="G145" s="32" t="s">
        <v>43</v>
      </c>
      <c r="H145" s="65" t="s">
        <v>114</v>
      </c>
      <c r="I145">
        <v>1</v>
      </c>
      <c r="J145" s="65" t="s">
        <v>49</v>
      </c>
      <c r="K145">
        <v>-10959.84</v>
      </c>
      <c r="L145" s="1">
        <v>12213.63</v>
      </c>
      <c r="M145" s="1"/>
      <c r="N145" s="1">
        <v>2</v>
      </c>
      <c r="O145" s="1">
        <v>24427.26</v>
      </c>
      <c r="P145" s="56">
        <f>IFERROR((L145-Q145)/L145,0)</f>
        <v>1.8973450153639828</v>
      </c>
      <c r="Q145" s="2">
        <v>-10959.84</v>
      </c>
      <c r="R145" s="1">
        <f t="shared" si="47"/>
        <v>-21919.68</v>
      </c>
      <c r="S145" s="60">
        <v>1.0000302940239699E-2</v>
      </c>
      <c r="T145" s="60">
        <v>1.0101319192258301E-2</v>
      </c>
      <c r="U145" s="1">
        <f t="shared" si="45"/>
        <v>-110.70999999999913</v>
      </c>
      <c r="V145" s="1">
        <f t="shared" si="49"/>
        <v>-221.42</v>
      </c>
      <c r="W145" s="56">
        <f>IFERROR((L145-X145)/(L145),0)</f>
        <v>1.9064094785907222</v>
      </c>
      <c r="X145" s="1">
        <f>IFERROR(ROUND(Q145/(1-S145), 2), 0)</f>
        <v>-11070.55</v>
      </c>
      <c r="Y145" s="1">
        <f t="shared" si="50"/>
        <v>-22141.1</v>
      </c>
      <c r="Z145" s="65" t="s">
        <v>111</v>
      </c>
      <c r="AA145" s="65" t="s">
        <v>115</v>
      </c>
      <c r="AB145" s="65" t="s">
        <v>349</v>
      </c>
    </row>
    <row r="146" spans="1:28" ht="28.8" x14ac:dyDescent="0.3">
      <c r="A146" s="65"/>
      <c r="B146" s="41" t="s">
        <v>63</v>
      </c>
      <c r="C146" s="29" t="s">
        <v>18</v>
      </c>
      <c r="D146" s="65" t="s">
        <v>110</v>
      </c>
      <c r="E146" s="65" t="s">
        <v>347</v>
      </c>
      <c r="F146" s="65" t="s">
        <v>33</v>
      </c>
      <c r="G146" s="32" t="s">
        <v>43</v>
      </c>
      <c r="H146" s="65" t="s">
        <v>114</v>
      </c>
      <c r="I146">
        <v>1</v>
      </c>
      <c r="J146" s="65" t="s">
        <v>49</v>
      </c>
      <c r="K146" s="1">
        <v>24427.26</v>
      </c>
      <c r="L146" s="1">
        <v>12213.63</v>
      </c>
      <c r="M146" s="1"/>
      <c r="N146" s="1">
        <v>2</v>
      </c>
      <c r="O146" s="1">
        <v>24427.26</v>
      </c>
      <c r="P146" s="56">
        <f>IFERROR((L146-Q146)/L146,0)</f>
        <v>-1</v>
      </c>
      <c r="Q146" s="2">
        <v>24427.26</v>
      </c>
      <c r="R146" s="1">
        <f t="shared" si="47"/>
        <v>48854.52</v>
      </c>
      <c r="S146" s="60">
        <v>1.0000302940239699E-2</v>
      </c>
      <c r="T146" s="60">
        <v>1.0101319192258301E-2</v>
      </c>
      <c r="U146" s="1">
        <f t="shared" si="45"/>
        <v>246.75</v>
      </c>
      <c r="V146" s="1">
        <f t="shared" si="49"/>
        <v>493.5</v>
      </c>
      <c r="W146" s="56">
        <f>IFERROR((L146-X146)/(L146),0)</f>
        <v>-1.0202028389594249</v>
      </c>
      <c r="X146" s="1">
        <f>IFERROR(ROUND(Q146/(1-S146), 2), 0)</f>
        <v>24674.01</v>
      </c>
      <c r="Y146" s="1">
        <f t="shared" si="50"/>
        <v>49348.02</v>
      </c>
      <c r="Z146" s="65" t="s">
        <v>111</v>
      </c>
      <c r="AA146" s="65" t="s">
        <v>115</v>
      </c>
      <c r="AB146" s="65" t="s">
        <v>350</v>
      </c>
    </row>
    <row r="147" spans="1:28" ht="28.8" x14ac:dyDescent="0.3">
      <c r="A147" s="65" t="s">
        <v>351</v>
      </c>
      <c r="B147" s="41" t="s">
        <v>63</v>
      </c>
      <c r="C147" s="29" t="s">
        <v>18</v>
      </c>
      <c r="D147" s="65" t="s">
        <v>110</v>
      </c>
      <c r="E147" s="65" t="s">
        <v>347</v>
      </c>
      <c r="F147" s="65" t="s">
        <v>33</v>
      </c>
      <c r="G147" s="32" t="s">
        <v>43</v>
      </c>
      <c r="H147" s="65" t="s">
        <v>114</v>
      </c>
      <c r="I147">
        <v>1</v>
      </c>
      <c r="J147" s="65" t="s">
        <v>52</v>
      </c>
      <c r="K147">
        <v>5.7364889999999997</v>
      </c>
      <c r="L147" s="1">
        <v>12213.63</v>
      </c>
      <c r="M147" s="1"/>
      <c r="N147" s="1">
        <v>2</v>
      </c>
      <c r="O147" s="1">
        <v>24427.26</v>
      </c>
      <c r="P147" s="55">
        <v>0.01</v>
      </c>
      <c r="Q147" s="1">
        <v>12091.49</v>
      </c>
      <c r="R147" s="1">
        <v>24182.99</v>
      </c>
      <c r="S147" s="56">
        <f t="shared" ref="S147:S155" si="51">IFERROR((X147-Q147)/X147,0)</f>
        <v>5.4252912761084834E-2</v>
      </c>
      <c r="T147" s="64">
        <v>5.7364890000000002E-2</v>
      </c>
      <c r="U147" s="1">
        <f t="shared" si="45"/>
        <v>693.63000000000102</v>
      </c>
      <c r="V147" s="1">
        <f t="shared" si="49"/>
        <v>1387.26</v>
      </c>
      <c r="W147" s="56">
        <f t="shared" ref="W147:W155" si="52">IFERROR((L147-X147)/L147,0)</f>
        <v>-4.6791166917615944E-2</v>
      </c>
      <c r="X147" s="1">
        <f t="shared" ref="X147:X151" si="53">IFERROR(ROUND(Q147*(1+T147), 2), 0)</f>
        <v>12785.12</v>
      </c>
      <c r="Y147" s="1">
        <f t="shared" si="50"/>
        <v>25570.240000000002</v>
      </c>
      <c r="Z147" s="65" t="s">
        <v>111</v>
      </c>
      <c r="AA147" s="65" t="s">
        <v>115</v>
      </c>
      <c r="AB147" s="65" t="s">
        <v>352</v>
      </c>
    </row>
    <row r="148" spans="1:28" ht="28.8" x14ac:dyDescent="0.3">
      <c r="A148" s="65"/>
      <c r="B148" s="41" t="s">
        <v>63</v>
      </c>
      <c r="C148" s="29" t="s">
        <v>18</v>
      </c>
      <c r="D148" s="65" t="s">
        <v>110</v>
      </c>
      <c r="E148" s="65" t="s">
        <v>347</v>
      </c>
      <c r="F148" s="65" t="s">
        <v>33</v>
      </c>
      <c r="G148" s="32" t="s">
        <v>43</v>
      </c>
      <c r="H148" s="65" t="s">
        <v>114</v>
      </c>
      <c r="I148">
        <v>1</v>
      </c>
      <c r="J148" s="65" t="s">
        <v>52</v>
      </c>
      <c r="K148">
        <v>0</v>
      </c>
      <c r="L148" s="1">
        <v>12213.63</v>
      </c>
      <c r="M148" s="1"/>
      <c r="N148" s="1">
        <v>2</v>
      </c>
      <c r="O148" s="1">
        <v>24427.26</v>
      </c>
      <c r="P148" s="55">
        <v>0.01</v>
      </c>
      <c r="Q148" s="1">
        <v>12091.49</v>
      </c>
      <c r="R148" s="1">
        <v>24182.99</v>
      </c>
      <c r="S148" s="56">
        <f t="shared" si="51"/>
        <v>0</v>
      </c>
      <c r="T148" s="64">
        <v>0</v>
      </c>
      <c r="U148" s="1">
        <f t="shared" si="45"/>
        <v>0</v>
      </c>
      <c r="V148" s="1">
        <f t="shared" si="49"/>
        <v>0</v>
      </c>
      <c r="W148" s="56">
        <f t="shared" si="52"/>
        <v>1.0000302940239668E-2</v>
      </c>
      <c r="X148" s="1">
        <f t="shared" si="53"/>
        <v>12091.49</v>
      </c>
      <c r="Y148" s="1">
        <f t="shared" si="50"/>
        <v>24182.98</v>
      </c>
      <c r="Z148" s="65" t="s">
        <v>111</v>
      </c>
      <c r="AA148" s="65" t="s">
        <v>115</v>
      </c>
      <c r="AB148" s="65" t="s">
        <v>353</v>
      </c>
    </row>
    <row r="149" spans="1:28" ht="28.8" x14ac:dyDescent="0.3">
      <c r="A149" s="65"/>
      <c r="B149" s="41" t="s">
        <v>63</v>
      </c>
      <c r="C149" s="29" t="s">
        <v>18</v>
      </c>
      <c r="D149" s="65" t="s">
        <v>110</v>
      </c>
      <c r="E149" s="65" t="s">
        <v>347</v>
      </c>
      <c r="F149" s="65" t="s">
        <v>33</v>
      </c>
      <c r="G149" s="32" t="s">
        <v>43</v>
      </c>
      <c r="H149" s="65" t="s">
        <v>114</v>
      </c>
      <c r="I149">
        <v>1</v>
      </c>
      <c r="J149" s="65" t="s">
        <v>52</v>
      </c>
      <c r="K149">
        <v>-5.7364889999999997</v>
      </c>
      <c r="L149" s="1">
        <v>12213.63</v>
      </c>
      <c r="M149" s="1"/>
      <c r="N149" s="1">
        <v>2</v>
      </c>
      <c r="O149" s="1">
        <v>24427.26</v>
      </c>
      <c r="P149" s="55">
        <v>0.01</v>
      </c>
      <c r="Q149" s="1">
        <v>12091.49</v>
      </c>
      <c r="R149" s="1">
        <v>24182.99</v>
      </c>
      <c r="S149" s="56">
        <f t="shared" si="51"/>
        <v>-6.0856160717889074E-2</v>
      </c>
      <c r="T149" s="64">
        <v>-5.7364890000000002E-2</v>
      </c>
      <c r="U149" s="1">
        <f t="shared" si="45"/>
        <v>-693.6299999999992</v>
      </c>
      <c r="V149" s="1">
        <f t="shared" si="49"/>
        <v>-1387.26</v>
      </c>
      <c r="W149" s="56">
        <f t="shared" si="52"/>
        <v>6.6791772798095131E-2</v>
      </c>
      <c r="X149" s="1">
        <f t="shared" si="53"/>
        <v>11397.86</v>
      </c>
      <c r="Y149" s="1">
        <f t="shared" si="50"/>
        <v>22795.72</v>
      </c>
      <c r="Z149" s="65" t="s">
        <v>111</v>
      </c>
      <c r="AA149" s="65" t="s">
        <v>115</v>
      </c>
      <c r="AB149" s="65" t="s">
        <v>354</v>
      </c>
    </row>
    <row r="150" spans="1:28" ht="28.8" x14ac:dyDescent="0.3">
      <c r="A150" s="65"/>
      <c r="B150" s="41" t="s">
        <v>63</v>
      </c>
      <c r="C150" s="29" t="s">
        <v>18</v>
      </c>
      <c r="D150" s="65" t="s">
        <v>110</v>
      </c>
      <c r="E150" s="65" t="s">
        <v>347</v>
      </c>
      <c r="F150" s="65" t="s">
        <v>33</v>
      </c>
      <c r="G150" s="32" t="s">
        <v>43</v>
      </c>
      <c r="H150" s="65" t="s">
        <v>114</v>
      </c>
      <c r="I150">
        <v>1</v>
      </c>
      <c r="J150" s="65" t="s">
        <v>52</v>
      </c>
      <c r="K150">
        <v>200</v>
      </c>
      <c r="L150" s="1">
        <v>12213.63</v>
      </c>
      <c r="M150" s="1"/>
      <c r="N150" s="1">
        <v>2</v>
      </c>
      <c r="O150" s="1">
        <v>24427.26</v>
      </c>
      <c r="P150" s="55">
        <v>0.01</v>
      </c>
      <c r="Q150" s="1">
        <v>12091.49</v>
      </c>
      <c r="R150" s="1">
        <v>24182.99</v>
      </c>
      <c r="S150" s="56">
        <f t="shared" si="51"/>
        <v>0.66666666666666674</v>
      </c>
      <c r="T150" s="64">
        <v>2</v>
      </c>
      <c r="U150" s="1">
        <f t="shared" si="45"/>
        <v>24182.980000000003</v>
      </c>
      <c r="V150" s="1">
        <f t="shared" si="49"/>
        <v>48365.96</v>
      </c>
      <c r="W150" s="56">
        <f t="shared" si="52"/>
        <v>-1.9699990911792813</v>
      </c>
      <c r="X150" s="1">
        <f t="shared" si="53"/>
        <v>36274.47</v>
      </c>
      <c r="Y150" s="1">
        <f t="shared" si="50"/>
        <v>72548.94</v>
      </c>
      <c r="Z150" s="65" t="s">
        <v>111</v>
      </c>
      <c r="AA150" s="65" t="s">
        <v>115</v>
      </c>
      <c r="AB150" s="65" t="s">
        <v>355</v>
      </c>
    </row>
    <row r="151" spans="1:28" ht="28.8" x14ac:dyDescent="0.3">
      <c r="A151" s="65"/>
      <c r="B151" s="41" t="s">
        <v>63</v>
      </c>
      <c r="C151" s="29" t="s">
        <v>18</v>
      </c>
      <c r="D151" s="65" t="s">
        <v>110</v>
      </c>
      <c r="E151" s="65" t="s">
        <v>347</v>
      </c>
      <c r="F151" s="65" t="s">
        <v>33</v>
      </c>
      <c r="G151" s="32" t="s">
        <v>43</v>
      </c>
      <c r="H151" s="65" t="s">
        <v>114</v>
      </c>
      <c r="I151">
        <v>1</v>
      </c>
      <c r="J151" s="65" t="s">
        <v>52</v>
      </c>
      <c r="K151">
        <v>100</v>
      </c>
      <c r="L151" s="1">
        <v>12213.63</v>
      </c>
      <c r="M151" s="1"/>
      <c r="N151" s="1">
        <v>2</v>
      </c>
      <c r="O151" s="1">
        <v>24427.26</v>
      </c>
      <c r="P151" s="55">
        <v>0.01</v>
      </c>
      <c r="Q151" s="1">
        <v>12091.49</v>
      </c>
      <c r="R151" s="1">
        <v>24182.99</v>
      </c>
      <c r="S151" s="56">
        <f t="shared" si="51"/>
        <v>0.5</v>
      </c>
      <c r="T151" s="64">
        <v>1</v>
      </c>
      <c r="U151" s="1">
        <f t="shared" si="45"/>
        <v>12091.49</v>
      </c>
      <c r="V151" s="1">
        <f t="shared" si="49"/>
        <v>24182.98</v>
      </c>
      <c r="W151" s="56">
        <f t="shared" si="52"/>
        <v>-0.97999939411952064</v>
      </c>
      <c r="X151" s="1">
        <f t="shared" si="53"/>
        <v>24182.98</v>
      </c>
      <c r="Y151" s="1">
        <f t="shared" si="50"/>
        <v>48365.96</v>
      </c>
      <c r="Z151" s="65" t="s">
        <v>111</v>
      </c>
      <c r="AA151" s="65" t="s">
        <v>115</v>
      </c>
      <c r="AB151" s="65" t="s">
        <v>356</v>
      </c>
    </row>
    <row r="152" spans="1:28" ht="28.8" x14ac:dyDescent="0.3">
      <c r="A152" s="65" t="s">
        <v>357</v>
      </c>
      <c r="B152" s="41" t="s">
        <v>63</v>
      </c>
      <c r="C152" s="29" t="s">
        <v>18</v>
      </c>
      <c r="D152" s="65" t="s">
        <v>235</v>
      </c>
      <c r="E152" s="65" t="s">
        <v>347</v>
      </c>
      <c r="F152" s="65" t="s">
        <v>33</v>
      </c>
      <c r="G152" s="32" t="s">
        <v>43</v>
      </c>
      <c r="H152" s="65" t="s">
        <v>238</v>
      </c>
      <c r="I152">
        <v>1</v>
      </c>
      <c r="J152" s="65" t="s">
        <v>53</v>
      </c>
      <c r="K152" s="65">
        <v>16575.96</v>
      </c>
      <c r="L152" s="1">
        <v>189270</v>
      </c>
      <c r="M152" s="1"/>
      <c r="N152" s="1">
        <v>2</v>
      </c>
      <c r="O152" s="1">
        <v>378540</v>
      </c>
      <c r="P152" s="55">
        <v>0.31999999999999901</v>
      </c>
      <c r="Q152" s="1">
        <v>128703.6</v>
      </c>
      <c r="R152" s="1">
        <v>257407.2</v>
      </c>
      <c r="S152" s="56">
        <f t="shared" si="51"/>
        <v>0.11409698652721685</v>
      </c>
      <c r="T152" s="56">
        <f>IFERROR((X152-Q152)/Q152,0)</f>
        <v>0.12879173542931194</v>
      </c>
      <c r="U152" s="2">
        <v>16575.96</v>
      </c>
      <c r="V152" s="1">
        <f t="shared" si="49"/>
        <v>33151.919999999998</v>
      </c>
      <c r="W152" s="56">
        <f t="shared" si="52"/>
        <v>0.23242161990806784</v>
      </c>
      <c r="X152" s="61">
        <f t="shared" ref="X152:X155" si="54">IFERROR(ROUND(Q152+U152,2),0)</f>
        <v>145279.56</v>
      </c>
      <c r="Y152" s="1">
        <f t="shared" si="50"/>
        <v>290559.12</v>
      </c>
      <c r="Z152" s="65" t="s">
        <v>236</v>
      </c>
      <c r="AA152" s="65" t="s">
        <v>239</v>
      </c>
      <c r="AB152" s="65" t="s">
        <v>358</v>
      </c>
    </row>
    <row r="153" spans="1:28" ht="28.8" x14ac:dyDescent="0.3">
      <c r="A153" s="65"/>
      <c r="B153" s="41" t="s">
        <v>63</v>
      </c>
      <c r="C153" s="29" t="s">
        <v>18</v>
      </c>
      <c r="D153" s="65" t="s">
        <v>235</v>
      </c>
      <c r="E153" s="65" t="s">
        <v>347</v>
      </c>
      <c r="F153" s="65" t="s">
        <v>33</v>
      </c>
      <c r="G153" s="32" t="s">
        <v>43</v>
      </c>
      <c r="H153" s="65" t="s">
        <v>238</v>
      </c>
      <c r="I153">
        <v>1</v>
      </c>
      <c r="J153" s="65" t="s">
        <v>53</v>
      </c>
      <c r="K153">
        <v>0</v>
      </c>
      <c r="L153" s="1">
        <v>189270</v>
      </c>
      <c r="M153" s="1"/>
      <c r="N153" s="1">
        <v>2</v>
      </c>
      <c r="O153" s="1">
        <v>378540</v>
      </c>
      <c r="P153" s="55">
        <v>0.31999999999999901</v>
      </c>
      <c r="Q153" s="1">
        <v>128703.6</v>
      </c>
      <c r="R153" s="1">
        <v>257407.2</v>
      </c>
      <c r="S153" s="56">
        <f t="shared" si="51"/>
        <v>0</v>
      </c>
      <c r="T153" s="56">
        <f>IFERROR((X153-Q153)/Q153,0)</f>
        <v>0</v>
      </c>
      <c r="U153" s="2">
        <v>0</v>
      </c>
      <c r="V153" s="1">
        <f t="shared" si="49"/>
        <v>0</v>
      </c>
      <c r="W153" s="56">
        <f t="shared" si="52"/>
        <v>0.31999999999999995</v>
      </c>
      <c r="X153" s="61">
        <f t="shared" si="54"/>
        <v>128703.6</v>
      </c>
      <c r="Y153" s="1">
        <f t="shared" si="50"/>
        <v>257407.2</v>
      </c>
      <c r="Z153" s="65" t="s">
        <v>236</v>
      </c>
      <c r="AA153" s="65" t="s">
        <v>239</v>
      </c>
      <c r="AB153" s="65" t="s">
        <v>359</v>
      </c>
    </row>
    <row r="154" spans="1:28" ht="28.8" x14ac:dyDescent="0.3">
      <c r="A154" s="65"/>
      <c r="B154" s="41" t="s">
        <v>63</v>
      </c>
      <c r="C154" s="29" t="s">
        <v>18</v>
      </c>
      <c r="D154" s="65" t="s">
        <v>235</v>
      </c>
      <c r="E154" s="65" t="s">
        <v>347</v>
      </c>
      <c r="F154" s="65" t="s">
        <v>33</v>
      </c>
      <c r="G154" s="32" t="s">
        <v>43</v>
      </c>
      <c r="H154" s="65" t="s">
        <v>238</v>
      </c>
      <c r="I154">
        <v>1</v>
      </c>
      <c r="J154" s="65" t="s">
        <v>53</v>
      </c>
      <c r="K154" s="65">
        <v>-16575.96</v>
      </c>
      <c r="L154" s="1">
        <v>189270</v>
      </c>
      <c r="M154" s="1"/>
      <c r="N154" s="1">
        <v>2</v>
      </c>
      <c r="O154" s="1">
        <v>378540</v>
      </c>
      <c r="P154" s="55">
        <v>0.31999999999999901</v>
      </c>
      <c r="Q154" s="1">
        <v>128703.6</v>
      </c>
      <c r="R154" s="1">
        <v>257407.2</v>
      </c>
      <c r="S154" s="56">
        <f t="shared" si="51"/>
        <v>-0.14783116812232922</v>
      </c>
      <c r="T154" s="56">
        <f>IFERROR((X154-Q154)/Q154,0)</f>
        <v>-0.12879173542931205</v>
      </c>
      <c r="U154" s="2">
        <v>-16575.96</v>
      </c>
      <c r="V154" s="1">
        <f t="shared" si="49"/>
        <v>-33151.919999999998</v>
      </c>
      <c r="W154" s="56">
        <f t="shared" si="52"/>
        <v>0.40757838009193215</v>
      </c>
      <c r="X154" s="61">
        <f t="shared" si="54"/>
        <v>112127.64</v>
      </c>
      <c r="Y154" s="1">
        <f t="shared" si="50"/>
        <v>224255.28</v>
      </c>
      <c r="Z154" s="65" t="s">
        <v>236</v>
      </c>
      <c r="AA154" s="65" t="s">
        <v>239</v>
      </c>
      <c r="AB154" s="65" t="s">
        <v>360</v>
      </c>
    </row>
    <row r="155" spans="1:28" ht="28.8" x14ac:dyDescent="0.3">
      <c r="A155" s="65"/>
      <c r="B155" s="41" t="s">
        <v>63</v>
      </c>
      <c r="C155" s="29" t="s">
        <v>18</v>
      </c>
      <c r="D155" s="65" t="s">
        <v>235</v>
      </c>
      <c r="E155" s="65" t="s">
        <v>347</v>
      </c>
      <c r="F155" s="65" t="s">
        <v>33</v>
      </c>
      <c r="G155" s="32" t="s">
        <v>43</v>
      </c>
      <c r="H155" s="65" t="s">
        <v>238</v>
      </c>
      <c r="I155">
        <v>1</v>
      </c>
      <c r="J155" s="65" t="s">
        <v>53</v>
      </c>
      <c r="K155" s="1">
        <v>378540</v>
      </c>
      <c r="L155" s="1">
        <v>189270</v>
      </c>
      <c r="M155" s="1"/>
      <c r="N155" s="1">
        <v>2</v>
      </c>
      <c r="O155" s="1">
        <v>378540</v>
      </c>
      <c r="P155" s="55">
        <v>0.31999999999999901</v>
      </c>
      <c r="Q155" s="1">
        <v>128703.6</v>
      </c>
      <c r="R155" s="1">
        <v>257407.2</v>
      </c>
      <c r="S155" s="56">
        <f t="shared" si="51"/>
        <v>0.74626865671641796</v>
      </c>
      <c r="T155" s="56">
        <f>IFERROR((X155-Q155)/Q155,0)</f>
        <v>2.9411764705882351</v>
      </c>
      <c r="U155" s="2">
        <v>378540</v>
      </c>
      <c r="V155" s="1">
        <f t="shared" si="49"/>
        <v>757080</v>
      </c>
      <c r="W155" s="56">
        <f t="shared" si="52"/>
        <v>-1.68</v>
      </c>
      <c r="X155" s="61">
        <f t="shared" si="54"/>
        <v>507243.6</v>
      </c>
      <c r="Y155" s="1">
        <f t="shared" si="50"/>
        <v>1014487.2</v>
      </c>
      <c r="Z155" s="65" t="s">
        <v>236</v>
      </c>
      <c r="AA155" s="65" t="s">
        <v>239</v>
      </c>
      <c r="AB155" s="65" t="s">
        <v>361</v>
      </c>
    </row>
    <row r="156" spans="1:28" ht="28.8" x14ac:dyDescent="0.3">
      <c r="A156" s="65" t="s">
        <v>362</v>
      </c>
      <c r="B156" s="41" t="s">
        <v>63</v>
      </c>
      <c r="C156" s="29" t="s">
        <v>18</v>
      </c>
      <c r="D156" t="s">
        <v>130</v>
      </c>
      <c r="E156" s="65" t="s">
        <v>347</v>
      </c>
      <c r="F156" s="65" t="s">
        <v>33</v>
      </c>
      <c r="G156" s="32" t="s">
        <v>43</v>
      </c>
      <c r="H156" s="65" t="s">
        <v>133</v>
      </c>
      <c r="I156">
        <v>1</v>
      </c>
      <c r="J156" t="s">
        <v>55</v>
      </c>
      <c r="K156">
        <v>36.89</v>
      </c>
      <c r="L156" s="1">
        <v>70</v>
      </c>
      <c r="M156" s="1">
        <v>36</v>
      </c>
      <c r="N156" s="1">
        <v>72</v>
      </c>
      <c r="O156" s="1">
        <v>181440</v>
      </c>
      <c r="P156" s="56">
        <f>IFERROR((M156*L156-Q156)/(M156*L156),0)</f>
        <v>0.74124999999999996</v>
      </c>
      <c r="Q156" s="1">
        <f t="shared" ref="Q156:Q164" si="55">IFERROR(ROUND(X156/(1+T156), 2), 0)</f>
        <v>652.04999999999995</v>
      </c>
      <c r="R156" s="1">
        <f t="shared" ref="R156:R164" si="56">IFERROR(ROUND(Q156*N156, 2), 0)</f>
        <v>46947.6</v>
      </c>
      <c r="S156" s="60">
        <v>0.59</v>
      </c>
      <c r="T156" s="60">
        <v>1.4390243902438999</v>
      </c>
      <c r="U156" s="1">
        <f t="shared" si="45"/>
        <v>938.31999999999994</v>
      </c>
      <c r="V156" s="1">
        <f t="shared" si="49"/>
        <v>67559.039999999994</v>
      </c>
      <c r="W156" s="62">
        <v>0.36890000000000001</v>
      </c>
      <c r="X156" s="1">
        <f>IFERROR(ROUND(M156*L156*(1-W156), 2), 0)</f>
        <v>1590.37</v>
      </c>
      <c r="Y156" s="1">
        <f t="shared" si="50"/>
        <v>114506.64</v>
      </c>
      <c r="Z156" t="s">
        <v>131</v>
      </c>
      <c r="AA156" s="65" t="s">
        <v>134</v>
      </c>
      <c r="AB156" s="65" t="s">
        <v>363</v>
      </c>
    </row>
    <row r="157" spans="1:28" ht="28.8" x14ac:dyDescent="0.3">
      <c r="A157" s="65"/>
      <c r="B157" s="41" t="s">
        <v>63</v>
      </c>
      <c r="C157" s="29" t="s">
        <v>18</v>
      </c>
      <c r="D157" t="s">
        <v>130</v>
      </c>
      <c r="E157" s="65" t="s">
        <v>347</v>
      </c>
      <c r="F157" s="65" t="s">
        <v>33</v>
      </c>
      <c r="G157" s="32" t="s">
        <v>43</v>
      </c>
      <c r="H157" s="65" t="s">
        <v>133</v>
      </c>
      <c r="I157">
        <v>1</v>
      </c>
      <c r="J157" t="s">
        <v>55</v>
      </c>
      <c r="K157">
        <v>0</v>
      </c>
      <c r="L157" s="1">
        <v>70</v>
      </c>
      <c r="M157" s="1">
        <v>36</v>
      </c>
      <c r="N157" s="1">
        <v>72</v>
      </c>
      <c r="O157" s="1">
        <v>181440</v>
      </c>
      <c r="P157" s="56">
        <f>IFERROR((M157*L157-Q157)/(M157*L157),0)</f>
        <v>0.59</v>
      </c>
      <c r="Q157" s="1">
        <f t="shared" si="55"/>
        <v>1033.2</v>
      </c>
      <c r="R157" s="1">
        <f t="shared" si="56"/>
        <v>74390.399999999994</v>
      </c>
      <c r="S157" s="60">
        <v>0.59</v>
      </c>
      <c r="T157" s="60">
        <v>1.4390243902438999</v>
      </c>
      <c r="U157" s="1">
        <f t="shared" si="45"/>
        <v>1486.8</v>
      </c>
      <c r="V157" s="1">
        <f t="shared" si="49"/>
        <v>107049.60000000001</v>
      </c>
      <c r="W157" s="62">
        <v>0</v>
      </c>
      <c r="X157" s="1">
        <f>IFERROR(ROUND(M157*L157*(1-W157), 2), 0)</f>
        <v>2520</v>
      </c>
      <c r="Y157" s="1">
        <f t="shared" si="50"/>
        <v>181440</v>
      </c>
      <c r="Z157" t="s">
        <v>131</v>
      </c>
      <c r="AA157" s="65" t="s">
        <v>134</v>
      </c>
      <c r="AB157" s="65" t="s">
        <v>364</v>
      </c>
    </row>
    <row r="158" spans="1:28" ht="28.8" x14ac:dyDescent="0.3">
      <c r="A158" s="65"/>
      <c r="B158" s="41" t="s">
        <v>63</v>
      </c>
      <c r="C158" s="29" t="s">
        <v>18</v>
      </c>
      <c r="D158" t="s">
        <v>130</v>
      </c>
      <c r="E158" s="65" t="s">
        <v>347</v>
      </c>
      <c r="F158" s="65" t="s">
        <v>33</v>
      </c>
      <c r="G158" s="32" t="s">
        <v>43</v>
      </c>
      <c r="H158" s="65" t="s">
        <v>133</v>
      </c>
      <c r="I158">
        <v>1</v>
      </c>
      <c r="J158" t="s">
        <v>55</v>
      </c>
      <c r="K158">
        <v>-36.89</v>
      </c>
      <c r="L158" s="1">
        <v>70</v>
      </c>
      <c r="M158" s="1">
        <v>36</v>
      </c>
      <c r="N158" s="1">
        <v>72</v>
      </c>
      <c r="O158" s="1">
        <v>181440</v>
      </c>
      <c r="P158" s="56">
        <f>IFERROR((M158*L158-Q158)/(M158*L158),0)</f>
        <v>0.43875000000000003</v>
      </c>
      <c r="Q158" s="1">
        <f t="shared" si="55"/>
        <v>1414.35</v>
      </c>
      <c r="R158" s="1">
        <f t="shared" si="56"/>
        <v>101833.2</v>
      </c>
      <c r="S158" s="60">
        <v>0.59</v>
      </c>
      <c r="T158" s="60">
        <v>1.4390243902438999</v>
      </c>
      <c r="U158" s="1">
        <f t="shared" si="45"/>
        <v>2035.2800000000002</v>
      </c>
      <c r="V158" s="1">
        <f t="shared" si="49"/>
        <v>146540.16</v>
      </c>
      <c r="W158" s="62">
        <v>-0.36890000000000001</v>
      </c>
      <c r="X158" s="1">
        <f>IFERROR(ROUND(M158*L158*(1-W158), 2), 0)</f>
        <v>3449.63</v>
      </c>
      <c r="Y158" s="1">
        <f t="shared" si="50"/>
        <v>248373.36</v>
      </c>
      <c r="Z158" t="s">
        <v>131</v>
      </c>
      <c r="AA158" s="65" t="s">
        <v>134</v>
      </c>
      <c r="AB158" s="65" t="s">
        <v>365</v>
      </c>
    </row>
    <row r="159" spans="1:28" ht="28.8" x14ac:dyDescent="0.3">
      <c r="A159" s="65"/>
      <c r="B159" s="41" t="s">
        <v>63</v>
      </c>
      <c r="C159" s="29" t="s">
        <v>18</v>
      </c>
      <c r="D159" t="s">
        <v>130</v>
      </c>
      <c r="E159" s="65" t="s">
        <v>347</v>
      </c>
      <c r="F159" s="65" t="s">
        <v>33</v>
      </c>
      <c r="G159" s="32" t="s">
        <v>43</v>
      </c>
      <c r="H159" s="65" t="s">
        <v>133</v>
      </c>
      <c r="I159">
        <v>1</v>
      </c>
      <c r="J159" t="s">
        <v>55</v>
      </c>
      <c r="K159">
        <v>200</v>
      </c>
      <c r="L159" s="1">
        <v>70</v>
      </c>
      <c r="M159" s="1">
        <v>36</v>
      </c>
      <c r="N159" s="1">
        <v>72</v>
      </c>
      <c r="O159" s="1">
        <v>181440</v>
      </c>
      <c r="P159" s="56">
        <f>IFERROR((M159*L159-Q159)/(M159*L159),0)</f>
        <v>1.41</v>
      </c>
      <c r="Q159" s="1">
        <f t="shared" si="55"/>
        <v>-1033.2</v>
      </c>
      <c r="R159" s="1">
        <f t="shared" si="56"/>
        <v>-74390.399999999994</v>
      </c>
      <c r="S159" s="60">
        <v>0.59</v>
      </c>
      <c r="T159" s="60">
        <v>1.4390243902438999</v>
      </c>
      <c r="U159" s="1">
        <f t="shared" si="45"/>
        <v>-1486.8</v>
      </c>
      <c r="V159" s="1">
        <f t="shared" si="49"/>
        <v>-107049.60000000001</v>
      </c>
      <c r="W159" s="62">
        <v>2</v>
      </c>
      <c r="X159" s="1">
        <f>IFERROR(ROUND(M159*L159*(1-W159), 2), 0)</f>
        <v>-2520</v>
      </c>
      <c r="Y159" s="1">
        <f t="shared" si="50"/>
        <v>-181440</v>
      </c>
      <c r="Z159" t="s">
        <v>131</v>
      </c>
      <c r="AA159" s="65" t="s">
        <v>134</v>
      </c>
      <c r="AB159" s="65" t="s">
        <v>366</v>
      </c>
    </row>
    <row r="160" spans="1:28" ht="28.8" x14ac:dyDescent="0.3">
      <c r="A160" s="65"/>
      <c r="B160" s="41" t="s">
        <v>63</v>
      </c>
      <c r="C160" s="29" t="s">
        <v>18</v>
      </c>
      <c r="D160" t="s">
        <v>130</v>
      </c>
      <c r="E160" s="65" t="s">
        <v>347</v>
      </c>
      <c r="F160" s="65" t="s">
        <v>33</v>
      </c>
      <c r="G160" s="32" t="s">
        <v>43</v>
      </c>
      <c r="H160" s="65" t="s">
        <v>133</v>
      </c>
      <c r="I160">
        <v>1</v>
      </c>
      <c r="J160" t="s">
        <v>55</v>
      </c>
      <c r="K160">
        <v>100</v>
      </c>
      <c r="L160" s="1">
        <v>70</v>
      </c>
      <c r="M160" s="1">
        <v>36</v>
      </c>
      <c r="N160" s="1">
        <v>72</v>
      </c>
      <c r="O160" s="1">
        <v>181440</v>
      </c>
      <c r="P160" s="56">
        <f>IFERROR((M160*L160-Q160)/(M160*L160),0)</f>
        <v>1</v>
      </c>
      <c r="Q160" s="1">
        <f t="shared" si="55"/>
        <v>0</v>
      </c>
      <c r="R160" s="1">
        <f t="shared" si="56"/>
        <v>0</v>
      </c>
      <c r="S160" s="60">
        <v>0.59</v>
      </c>
      <c r="T160" s="60">
        <v>1.4390243902438999</v>
      </c>
      <c r="U160" s="1">
        <f t="shared" si="45"/>
        <v>0</v>
      </c>
      <c r="V160" s="1">
        <f t="shared" si="49"/>
        <v>0</v>
      </c>
      <c r="W160" s="62">
        <v>1</v>
      </c>
      <c r="X160" s="1">
        <f>IFERROR(ROUND(M160*L160*(1-W160), 2), 0)</f>
        <v>0</v>
      </c>
      <c r="Y160" s="1">
        <f t="shared" si="50"/>
        <v>0</v>
      </c>
      <c r="Z160" t="s">
        <v>131</v>
      </c>
      <c r="AA160" s="65" t="s">
        <v>134</v>
      </c>
      <c r="AB160" s="65" t="s">
        <v>367</v>
      </c>
    </row>
    <row r="161" spans="1:28" ht="28.8" x14ac:dyDescent="0.3">
      <c r="A161" s="65" t="s">
        <v>368</v>
      </c>
      <c r="B161" s="41" t="s">
        <v>63</v>
      </c>
      <c r="C161" s="29" t="s">
        <v>18</v>
      </c>
      <c r="D161" s="65" t="s">
        <v>110</v>
      </c>
      <c r="E161" s="65" t="s">
        <v>347</v>
      </c>
      <c r="F161" s="65" t="s">
        <v>33</v>
      </c>
      <c r="G161" s="32" t="s">
        <v>43</v>
      </c>
      <c r="H161" s="65" t="s">
        <v>192</v>
      </c>
      <c r="I161" s="65">
        <v>1</v>
      </c>
      <c r="J161" s="65" t="s">
        <v>56</v>
      </c>
      <c r="K161" s="65">
        <v>60851.25</v>
      </c>
      <c r="L161" s="57">
        <v>69846.12</v>
      </c>
      <c r="M161" s="58">
        <v>36</v>
      </c>
      <c r="N161" s="57">
        <v>2</v>
      </c>
      <c r="O161" s="66">
        <v>139692.24</v>
      </c>
      <c r="P161" s="56">
        <f>IFERROR((L161-Q161)/L161,0)</f>
        <v>0.4772696035227153</v>
      </c>
      <c r="Q161" s="1">
        <f t="shared" si="55"/>
        <v>36510.69</v>
      </c>
      <c r="R161" s="1">
        <f t="shared" si="56"/>
        <v>73021.38</v>
      </c>
      <c r="S161" s="60">
        <v>0.40000103083750299</v>
      </c>
      <c r="T161" s="60">
        <v>0.66666953010909702</v>
      </c>
      <c r="U161" s="1">
        <f t="shared" si="45"/>
        <v>24340.559999999998</v>
      </c>
      <c r="V161" s="1">
        <f t="shared" si="49"/>
        <v>48681.120000000003</v>
      </c>
      <c r="W161" s="56">
        <f>IFERROR((L161-X161)/L161,0)</f>
        <v>0.12878124081910342</v>
      </c>
      <c r="X161" s="3">
        <v>60851.25</v>
      </c>
      <c r="Y161" s="1">
        <f t="shared" si="50"/>
        <v>121702.5</v>
      </c>
      <c r="Z161" s="65" t="s">
        <v>111</v>
      </c>
      <c r="AA161" s="65" t="s">
        <v>61</v>
      </c>
      <c r="AB161" s="65" t="s">
        <v>369</v>
      </c>
    </row>
    <row r="162" spans="1:28" ht="28.8" x14ac:dyDescent="0.3">
      <c r="A162" s="65"/>
      <c r="B162" s="41" t="s">
        <v>63</v>
      </c>
      <c r="C162" s="29" t="s">
        <v>18</v>
      </c>
      <c r="D162" s="65" t="s">
        <v>110</v>
      </c>
      <c r="E162" s="65" t="s">
        <v>347</v>
      </c>
      <c r="F162" s="65" t="s">
        <v>33</v>
      </c>
      <c r="G162" s="32" t="s">
        <v>43</v>
      </c>
      <c r="H162" s="65" t="s">
        <v>192</v>
      </c>
      <c r="I162" s="65">
        <v>1</v>
      </c>
      <c r="J162" s="65" t="s">
        <v>56</v>
      </c>
      <c r="K162" s="65">
        <v>0</v>
      </c>
      <c r="L162" s="57">
        <v>69846.12</v>
      </c>
      <c r="M162" s="58">
        <v>36</v>
      </c>
      <c r="N162" s="57">
        <v>2</v>
      </c>
      <c r="O162" s="66">
        <v>139692.24</v>
      </c>
      <c r="P162" s="56">
        <f>IFERROR((L162-Q162)/L162,0)</f>
        <v>1</v>
      </c>
      <c r="Q162" s="1">
        <f t="shared" si="55"/>
        <v>0</v>
      </c>
      <c r="R162" s="1">
        <f t="shared" si="56"/>
        <v>0</v>
      </c>
      <c r="S162" s="60">
        <v>0.40000103083750299</v>
      </c>
      <c r="T162" s="60">
        <v>0.66666953010909702</v>
      </c>
      <c r="U162" s="1">
        <f t="shared" si="45"/>
        <v>0</v>
      </c>
      <c r="V162" s="1">
        <f t="shared" si="49"/>
        <v>0</v>
      </c>
      <c r="W162" s="56">
        <f>IFERROR((L162-X162)/L162,0)</f>
        <v>1</v>
      </c>
      <c r="X162" s="3">
        <v>0</v>
      </c>
      <c r="Y162" s="1">
        <f t="shared" si="50"/>
        <v>0</v>
      </c>
      <c r="Z162" s="65" t="s">
        <v>111</v>
      </c>
      <c r="AA162" s="65" t="s">
        <v>61</v>
      </c>
      <c r="AB162" s="65" t="s">
        <v>370</v>
      </c>
    </row>
    <row r="163" spans="1:28" ht="28.8" x14ac:dyDescent="0.3">
      <c r="A163" s="65"/>
      <c r="B163" s="41" t="s">
        <v>63</v>
      </c>
      <c r="C163" s="29" t="s">
        <v>18</v>
      </c>
      <c r="D163" s="65" t="s">
        <v>110</v>
      </c>
      <c r="E163" s="65" t="s">
        <v>347</v>
      </c>
      <c r="F163" s="65" t="s">
        <v>33</v>
      </c>
      <c r="G163" s="32" t="s">
        <v>43</v>
      </c>
      <c r="H163" s="65" t="s">
        <v>192</v>
      </c>
      <c r="I163" s="65">
        <v>1</v>
      </c>
      <c r="J163" s="65" t="s">
        <v>56</v>
      </c>
      <c r="K163" s="65">
        <v>-60851.25</v>
      </c>
      <c r="L163" s="57">
        <v>69846.12</v>
      </c>
      <c r="M163" s="58">
        <v>36</v>
      </c>
      <c r="N163" s="57">
        <v>2</v>
      </c>
      <c r="O163" s="66">
        <v>139692.24</v>
      </c>
      <c r="P163" s="56">
        <f>IFERROR((L163-Q163)/L163,0)</f>
        <v>1.5227303964772847</v>
      </c>
      <c r="Q163" s="1">
        <f t="shared" si="55"/>
        <v>-36510.69</v>
      </c>
      <c r="R163" s="1">
        <f t="shared" si="56"/>
        <v>-73021.38</v>
      </c>
      <c r="S163" s="60">
        <v>0.40000103083750299</v>
      </c>
      <c r="T163" s="60">
        <v>0.66666953010909702</v>
      </c>
      <c r="U163" s="1">
        <f t="shared" si="45"/>
        <v>-24340.559999999998</v>
      </c>
      <c r="V163" s="1">
        <f t="shared" si="49"/>
        <v>-48681.120000000003</v>
      </c>
      <c r="W163" s="56">
        <f>IFERROR((L163-X163)/L163,0)</f>
        <v>1.8712187591808966</v>
      </c>
      <c r="X163" s="3">
        <v>-60851.25</v>
      </c>
      <c r="Y163" s="1">
        <f t="shared" si="50"/>
        <v>-121702.5</v>
      </c>
      <c r="Z163" s="65" t="s">
        <v>111</v>
      </c>
      <c r="AA163" s="65" t="s">
        <v>61</v>
      </c>
      <c r="AB163" s="65" t="s">
        <v>371</v>
      </c>
    </row>
    <row r="164" spans="1:28" ht="28.8" x14ac:dyDescent="0.3">
      <c r="A164" s="65"/>
      <c r="B164" s="41" t="s">
        <v>63</v>
      </c>
      <c r="C164" s="29" t="s">
        <v>18</v>
      </c>
      <c r="D164" s="65" t="s">
        <v>110</v>
      </c>
      <c r="E164" s="65" t="s">
        <v>347</v>
      </c>
      <c r="F164" s="65" t="s">
        <v>33</v>
      </c>
      <c r="G164" s="32" t="s">
        <v>43</v>
      </c>
      <c r="H164" s="65" t="s">
        <v>192</v>
      </c>
      <c r="I164" s="65">
        <v>1</v>
      </c>
      <c r="J164" s="65" t="s">
        <v>56</v>
      </c>
      <c r="K164" s="66">
        <v>139692.24</v>
      </c>
      <c r="L164" s="57">
        <v>69846.12</v>
      </c>
      <c r="M164" s="58">
        <v>36</v>
      </c>
      <c r="N164" s="57">
        <v>2</v>
      </c>
      <c r="O164" s="66">
        <v>139692.24</v>
      </c>
      <c r="P164" s="56">
        <f>IFERROR((L164-Q164)/L164,0)</f>
        <v>-0.19999793832499219</v>
      </c>
      <c r="Q164" s="1">
        <f t="shared" si="55"/>
        <v>83815.199999999997</v>
      </c>
      <c r="R164" s="1">
        <f t="shared" si="56"/>
        <v>167630.39999999999</v>
      </c>
      <c r="S164" s="60">
        <v>0.40000103083750299</v>
      </c>
      <c r="T164" s="60">
        <v>0.66666953010909702</v>
      </c>
      <c r="U164" s="1">
        <f t="shared" si="45"/>
        <v>55877.039999999994</v>
      </c>
      <c r="V164" s="1">
        <f t="shared" si="49"/>
        <v>111754.08</v>
      </c>
      <c r="W164" s="56">
        <f>IFERROR((L164-X164)/L164,0)</f>
        <v>-1</v>
      </c>
      <c r="X164" s="3">
        <v>139692.24</v>
      </c>
      <c r="Y164" s="1">
        <f t="shared" si="50"/>
        <v>279384.48</v>
      </c>
      <c r="Z164" s="65" t="s">
        <v>111</v>
      </c>
      <c r="AA164" s="65" t="s">
        <v>61</v>
      </c>
      <c r="AB164" s="65" t="s">
        <v>372</v>
      </c>
    </row>
    <row r="165" spans="1:28" ht="28.8" x14ac:dyDescent="0.3">
      <c r="A165" s="65" t="s">
        <v>373</v>
      </c>
      <c r="B165" s="41" t="s">
        <v>63</v>
      </c>
      <c r="C165" s="29" t="s">
        <v>18</v>
      </c>
      <c r="D165" t="s">
        <v>130</v>
      </c>
      <c r="E165" s="65" t="s">
        <v>347</v>
      </c>
      <c r="F165" s="65" t="s">
        <v>33</v>
      </c>
      <c r="G165" s="32" t="s">
        <v>43</v>
      </c>
      <c r="H165" s="65" t="s">
        <v>133</v>
      </c>
      <c r="I165">
        <v>1</v>
      </c>
      <c r="J165" t="s">
        <v>51</v>
      </c>
      <c r="K165">
        <v>34.824896000000003</v>
      </c>
      <c r="L165" s="1">
        <v>70</v>
      </c>
      <c r="M165" s="1">
        <v>36</v>
      </c>
      <c r="N165" s="1">
        <v>72</v>
      </c>
      <c r="O165" s="1">
        <v>181440</v>
      </c>
      <c r="P165" s="68">
        <v>0.59</v>
      </c>
      <c r="Q165" s="1">
        <v>1033.2</v>
      </c>
      <c r="R165" s="1">
        <v>74390.399999999994</v>
      </c>
      <c r="S165" s="64">
        <v>0.34824896</v>
      </c>
      <c r="T165" s="56">
        <f>IFERROR((X165-Q165)/Q165,0)</f>
        <v>0.53433023615950437</v>
      </c>
      <c r="U165" s="1">
        <f t="shared" si="45"/>
        <v>552.06999999999994</v>
      </c>
      <c r="V165" s="1">
        <f>ROUND(U165*N165, 2)</f>
        <v>39749.040000000001</v>
      </c>
      <c r="W165" s="56">
        <f>IFERROR((M165*L165-X165)/(L165*M165),0)</f>
        <v>0.37092460317460318</v>
      </c>
      <c r="X165" s="1">
        <f>IFERROR(ROUND(Q165/(1-S165), 2), 0)</f>
        <v>1585.27</v>
      </c>
      <c r="Y165" s="1">
        <f t="shared" si="50"/>
        <v>114139.44</v>
      </c>
      <c r="Z165" t="s">
        <v>131</v>
      </c>
      <c r="AA165" s="65" t="s">
        <v>134</v>
      </c>
      <c r="AB165" s="65" t="s">
        <v>374</v>
      </c>
    </row>
    <row r="166" spans="1:28" ht="28.8" x14ac:dyDescent="0.3">
      <c r="A166" s="65"/>
      <c r="B166" s="41" t="s">
        <v>63</v>
      </c>
      <c r="C166" s="29" t="s">
        <v>18</v>
      </c>
      <c r="D166" t="s">
        <v>130</v>
      </c>
      <c r="E166" s="65" t="s">
        <v>347</v>
      </c>
      <c r="F166" s="65" t="s">
        <v>33</v>
      </c>
      <c r="G166" s="32" t="s">
        <v>43</v>
      </c>
      <c r="H166" s="65" t="s">
        <v>133</v>
      </c>
      <c r="I166">
        <v>1</v>
      </c>
      <c r="J166" t="s">
        <v>51</v>
      </c>
      <c r="K166">
        <v>0</v>
      </c>
      <c r="L166" s="1">
        <v>70</v>
      </c>
      <c r="M166" s="1">
        <v>36</v>
      </c>
      <c r="N166" s="1">
        <v>72</v>
      </c>
      <c r="O166" s="1">
        <v>181440</v>
      </c>
      <c r="P166" s="68">
        <v>0.59</v>
      </c>
      <c r="Q166" s="1">
        <v>1033.2</v>
      </c>
      <c r="R166" s="1">
        <v>74390.399999999994</v>
      </c>
      <c r="S166" s="64">
        <v>0</v>
      </c>
      <c r="T166" s="56">
        <f>IFERROR((X166-Q166)/Q166,0)</f>
        <v>0</v>
      </c>
      <c r="U166" s="1">
        <f t="shared" si="45"/>
        <v>0</v>
      </c>
      <c r="V166" s="1">
        <f>ROUND(U166*N166, 2)</f>
        <v>0</v>
      </c>
      <c r="W166" s="56">
        <f>IFERROR((M166*L166-X166)/(L166*M166),0)</f>
        <v>0.59</v>
      </c>
      <c r="X166" s="1">
        <f>IFERROR(ROUND(Q166/(1-S166), 2), 0)</f>
        <v>1033.2</v>
      </c>
      <c r="Y166" s="1">
        <f t="shared" si="50"/>
        <v>74390.399999999994</v>
      </c>
      <c r="Z166" t="s">
        <v>131</v>
      </c>
      <c r="AA166" s="65" t="s">
        <v>134</v>
      </c>
      <c r="AB166" s="65" t="s">
        <v>375</v>
      </c>
    </row>
    <row r="167" spans="1:28" ht="28.8" x14ac:dyDescent="0.3">
      <c r="A167" s="65"/>
      <c r="B167" s="41" t="s">
        <v>63</v>
      </c>
      <c r="C167" s="29" t="s">
        <v>18</v>
      </c>
      <c r="D167" t="s">
        <v>130</v>
      </c>
      <c r="E167" s="65" t="s">
        <v>347</v>
      </c>
      <c r="F167" s="65" t="s">
        <v>33</v>
      </c>
      <c r="G167" s="32" t="s">
        <v>43</v>
      </c>
      <c r="H167" s="65" t="s">
        <v>133</v>
      </c>
      <c r="I167">
        <v>1</v>
      </c>
      <c r="J167" t="s">
        <v>51</v>
      </c>
      <c r="K167">
        <v>-34.824896000000003</v>
      </c>
      <c r="L167" s="1">
        <v>70</v>
      </c>
      <c r="M167" s="1">
        <v>36</v>
      </c>
      <c r="N167" s="1">
        <v>72</v>
      </c>
      <c r="O167" s="1">
        <v>181440</v>
      </c>
      <c r="P167" s="68">
        <v>0.59</v>
      </c>
      <c r="Q167" s="1">
        <v>1033.2</v>
      </c>
      <c r="R167" s="1">
        <v>74390.399999999994</v>
      </c>
      <c r="S167" s="64">
        <v>-0.34824896</v>
      </c>
      <c r="T167" s="56">
        <f>IFERROR((X167-Q167)/Q167,0)</f>
        <v>-0.25829461866047232</v>
      </c>
      <c r="U167" s="1">
        <f t="shared" si="45"/>
        <v>-266.87</v>
      </c>
      <c r="V167" s="1">
        <f>ROUND(U167*N167, 2)</f>
        <v>-19214.64</v>
      </c>
      <c r="W167" s="56">
        <f>IFERROR((M167*L167-X167)/(L167*M167),0)</f>
        <v>0.69590079365079371</v>
      </c>
      <c r="X167" s="1">
        <f>IFERROR(ROUND(Q167/(1-S167), 2), 0)</f>
        <v>766.33</v>
      </c>
      <c r="Y167" s="1">
        <f t="shared" si="50"/>
        <v>55175.76</v>
      </c>
      <c r="Z167" t="s">
        <v>131</v>
      </c>
      <c r="AA167" s="65" t="s">
        <v>134</v>
      </c>
      <c r="AB167" s="65" t="s">
        <v>376</v>
      </c>
    </row>
    <row r="168" spans="1:28" ht="28.8" x14ac:dyDescent="0.3">
      <c r="A168" s="65"/>
      <c r="B168" s="41" t="s">
        <v>63</v>
      </c>
      <c r="C168" s="29" t="s">
        <v>18</v>
      </c>
      <c r="D168" t="s">
        <v>130</v>
      </c>
      <c r="E168" s="65" t="s">
        <v>347</v>
      </c>
      <c r="F168" s="65" t="s">
        <v>33</v>
      </c>
      <c r="G168" s="32" t="s">
        <v>43</v>
      </c>
      <c r="H168" s="65" t="s">
        <v>133</v>
      </c>
      <c r="I168">
        <v>1</v>
      </c>
      <c r="J168" t="s">
        <v>51</v>
      </c>
      <c r="K168">
        <v>200</v>
      </c>
      <c r="L168" s="1">
        <v>70</v>
      </c>
      <c r="M168" s="1">
        <v>36</v>
      </c>
      <c r="N168" s="1">
        <v>72</v>
      </c>
      <c r="O168" s="1">
        <v>181440</v>
      </c>
      <c r="P168" s="68">
        <v>0.59</v>
      </c>
      <c r="Q168" s="1">
        <v>1033.2</v>
      </c>
      <c r="R168" s="1">
        <v>74390.399999999994</v>
      </c>
      <c r="S168" s="64">
        <v>2</v>
      </c>
      <c r="T168" s="56">
        <f>IFERROR((X168-Q168)/Q168,0)</f>
        <v>-2</v>
      </c>
      <c r="U168" s="1">
        <f t="shared" si="45"/>
        <v>-2066.4</v>
      </c>
      <c r="V168" s="1">
        <f>ROUND(U168*N168, 2)</f>
        <v>-148780.79999999999</v>
      </c>
      <c r="W168" s="56">
        <f>IFERROR((M168*L168-X168)/(L168*M168),0)</f>
        <v>1.41</v>
      </c>
      <c r="X168" s="1">
        <f>IFERROR(ROUND(Q168/(1-S168), 2), 0)</f>
        <v>-1033.2</v>
      </c>
      <c r="Y168" s="1">
        <f t="shared" si="50"/>
        <v>-74390.399999999994</v>
      </c>
      <c r="Z168" t="s">
        <v>131</v>
      </c>
      <c r="AA168" s="65" t="s">
        <v>134</v>
      </c>
      <c r="AB168" s="65" t="s">
        <v>377</v>
      </c>
    </row>
    <row r="169" spans="1:28" ht="28.8" x14ac:dyDescent="0.3">
      <c r="A169" s="65"/>
      <c r="B169" s="41" t="s">
        <v>63</v>
      </c>
      <c r="C169" s="29" t="s">
        <v>18</v>
      </c>
      <c r="D169" t="s">
        <v>130</v>
      </c>
      <c r="E169" s="65" t="s">
        <v>347</v>
      </c>
      <c r="F169" s="65" t="s">
        <v>33</v>
      </c>
      <c r="G169" s="32" t="s">
        <v>43</v>
      </c>
      <c r="H169" s="65" t="s">
        <v>133</v>
      </c>
      <c r="I169">
        <v>1</v>
      </c>
      <c r="J169" t="s">
        <v>51</v>
      </c>
      <c r="K169">
        <v>100</v>
      </c>
      <c r="L169" s="1">
        <v>70</v>
      </c>
      <c r="M169" s="1">
        <v>36</v>
      </c>
      <c r="N169" s="1">
        <v>72</v>
      </c>
      <c r="O169" s="1">
        <v>181440</v>
      </c>
      <c r="P169" s="68">
        <v>0.59</v>
      </c>
      <c r="Q169" s="1">
        <v>1033.2</v>
      </c>
      <c r="R169" s="1">
        <v>74390.399999999994</v>
      </c>
      <c r="S169" s="64">
        <v>1</v>
      </c>
      <c r="T169" s="56">
        <f>IFERROR((X169-Q169)/Q169,0)</f>
        <v>-1</v>
      </c>
      <c r="U169" s="1">
        <f t="shared" si="45"/>
        <v>-1033.2</v>
      </c>
      <c r="V169" s="1">
        <f>ROUND(U169*N169, 2)</f>
        <v>-74390.399999999994</v>
      </c>
      <c r="W169" s="56">
        <f>IFERROR((M169*L169-X169)/(L169*M169),0)</f>
        <v>1</v>
      </c>
      <c r="X169" s="1">
        <f>IFERROR(ROUND(Q169/(1-S169), 2), 0)</f>
        <v>0</v>
      </c>
      <c r="Y169" s="1">
        <f t="shared" si="50"/>
        <v>0</v>
      </c>
      <c r="Z169" t="s">
        <v>131</v>
      </c>
      <c r="AA169" s="65" t="s">
        <v>134</v>
      </c>
      <c r="AB169" s="65" t="s">
        <v>378</v>
      </c>
    </row>
    <row r="170" spans="1:28" ht="28.8" x14ac:dyDescent="0.3">
      <c r="A170" s="65" t="s">
        <v>379</v>
      </c>
      <c r="B170" s="41" t="s">
        <v>63</v>
      </c>
      <c r="C170" s="29" t="s">
        <v>18</v>
      </c>
      <c r="D170" s="65" t="s">
        <v>110</v>
      </c>
      <c r="E170" s="65" t="s">
        <v>347</v>
      </c>
      <c r="F170" s="65" t="s">
        <v>33</v>
      </c>
      <c r="G170" s="32" t="s">
        <v>43</v>
      </c>
      <c r="H170" s="65" t="s">
        <v>192</v>
      </c>
      <c r="I170" s="65">
        <v>1</v>
      </c>
      <c r="J170" t="s">
        <v>39</v>
      </c>
      <c r="K170" s="65">
        <v>56.879853099999998</v>
      </c>
      <c r="L170" s="57">
        <v>69846.12</v>
      </c>
      <c r="M170" s="58">
        <v>36</v>
      </c>
      <c r="N170" s="57">
        <v>2</v>
      </c>
      <c r="O170" s="66">
        <v>139692.24</v>
      </c>
      <c r="P170" s="62">
        <v>0.568798531</v>
      </c>
      <c r="Q170" s="1">
        <f>IFERROR(ROUND(L170*(1-P170), 2), 0)</f>
        <v>30117.75</v>
      </c>
      <c r="R170" s="1">
        <f t="shared" ref="R170:R210" si="57">IFERROR(ROUND(Q170*N170, 2), 0)</f>
        <v>60235.5</v>
      </c>
      <c r="S170" s="60">
        <v>0.40000103083750299</v>
      </c>
      <c r="T170" s="60">
        <v>0.66666953010909702</v>
      </c>
      <c r="U170" s="1">
        <f t="shared" si="45"/>
        <v>20078.589999999997</v>
      </c>
      <c r="V170" s="1">
        <f t="shared" ref="V170:V196" si="58">ROUND(U170*N170, 2)</f>
        <v>40157.18</v>
      </c>
      <c r="W170" s="56">
        <f>IFERROR((L170-X170)/L170,0)</f>
        <v>0.28132958566631905</v>
      </c>
      <c r="X170" s="1">
        <f t="shared" ref="X170:X174" si="59">IFERROR(ROUND(Q170*(1+T170), 2), 0)</f>
        <v>50196.34</v>
      </c>
      <c r="Y170" s="1">
        <f t="shared" si="50"/>
        <v>100392.68</v>
      </c>
      <c r="Z170" s="65" t="s">
        <v>111</v>
      </c>
      <c r="AA170" s="65" t="s">
        <v>61</v>
      </c>
      <c r="AB170" s="65" t="s">
        <v>380</v>
      </c>
    </row>
    <row r="171" spans="1:28" ht="28.8" x14ac:dyDescent="0.3">
      <c r="A171" s="65"/>
      <c r="B171" s="41" t="s">
        <v>63</v>
      </c>
      <c r="C171" s="29" t="s">
        <v>18</v>
      </c>
      <c r="D171" s="65" t="s">
        <v>110</v>
      </c>
      <c r="E171" s="65" t="s">
        <v>347</v>
      </c>
      <c r="F171" s="65" t="s">
        <v>33</v>
      </c>
      <c r="G171" s="32" t="s">
        <v>43</v>
      </c>
      <c r="H171" s="65" t="s">
        <v>192</v>
      </c>
      <c r="I171" s="65">
        <v>1</v>
      </c>
      <c r="J171" t="s">
        <v>39</v>
      </c>
      <c r="K171" s="65">
        <v>0</v>
      </c>
      <c r="L171" s="57">
        <v>69846.12</v>
      </c>
      <c r="M171" s="58">
        <v>36</v>
      </c>
      <c r="N171" s="57">
        <v>2</v>
      </c>
      <c r="O171" s="66">
        <v>139692.24</v>
      </c>
      <c r="P171" s="62">
        <v>0</v>
      </c>
      <c r="Q171" s="1">
        <f>IFERROR(ROUND(L171*(1-P171), 2), 0)</f>
        <v>69846.12</v>
      </c>
      <c r="R171" s="1">
        <f t="shared" si="57"/>
        <v>139692.24</v>
      </c>
      <c r="S171" s="60">
        <v>0.40000103083750299</v>
      </c>
      <c r="T171" s="60">
        <v>0.66666953010909702</v>
      </c>
      <c r="U171" s="1">
        <f t="shared" si="45"/>
        <v>46564.28</v>
      </c>
      <c r="V171" s="1">
        <f t="shared" si="58"/>
        <v>93128.56</v>
      </c>
      <c r="W171" s="56">
        <f>IFERROR((L171-X171)/L171,0)</f>
        <v>-0.66666953010417762</v>
      </c>
      <c r="X171" s="1">
        <f t="shared" si="59"/>
        <v>116410.4</v>
      </c>
      <c r="Y171" s="1">
        <f t="shared" si="50"/>
        <v>232820.8</v>
      </c>
      <c r="Z171" s="65" t="s">
        <v>111</v>
      </c>
      <c r="AA171" s="65" t="s">
        <v>61</v>
      </c>
      <c r="AB171" s="65" t="s">
        <v>381</v>
      </c>
    </row>
    <row r="172" spans="1:28" ht="28.8" x14ac:dyDescent="0.3">
      <c r="A172" s="65"/>
      <c r="B172" s="41" t="s">
        <v>63</v>
      </c>
      <c r="C172" s="29" t="s">
        <v>18</v>
      </c>
      <c r="D172" s="65" t="s">
        <v>110</v>
      </c>
      <c r="E172" s="65" t="s">
        <v>347</v>
      </c>
      <c r="F172" s="65" t="s">
        <v>33</v>
      </c>
      <c r="G172" s="32" t="s">
        <v>43</v>
      </c>
      <c r="H172" s="65" t="s">
        <v>192</v>
      </c>
      <c r="I172" s="65">
        <v>1</v>
      </c>
      <c r="J172" t="s">
        <v>39</v>
      </c>
      <c r="K172" s="65">
        <v>-56.879853099999998</v>
      </c>
      <c r="L172" s="57">
        <v>69846.12</v>
      </c>
      <c r="M172" s="58">
        <v>36</v>
      </c>
      <c r="N172" s="57">
        <v>2</v>
      </c>
      <c r="O172" s="66">
        <v>139692.24</v>
      </c>
      <c r="P172" s="62">
        <v>-0.568798531</v>
      </c>
      <c r="Q172" s="1">
        <f>IFERROR(ROUND(L172*(1-P172), 2), 0)</f>
        <v>109574.49</v>
      </c>
      <c r="R172" s="1">
        <f t="shared" si="57"/>
        <v>219148.98</v>
      </c>
      <c r="S172" s="60">
        <v>0.40000103083750299</v>
      </c>
      <c r="T172" s="60">
        <v>0.66666953010909702</v>
      </c>
      <c r="U172" s="1">
        <f t="shared" si="45"/>
        <v>73049.969999999987</v>
      </c>
      <c r="V172" s="1">
        <f t="shared" si="58"/>
        <v>146099.94</v>
      </c>
      <c r="W172" s="56">
        <f>IFERROR((L172-X172)/L172,0)</f>
        <v>-1.6146686458746742</v>
      </c>
      <c r="X172" s="1">
        <f t="shared" si="59"/>
        <v>182624.46</v>
      </c>
      <c r="Y172" s="1">
        <f t="shared" si="50"/>
        <v>365248.92</v>
      </c>
      <c r="Z172" s="65" t="s">
        <v>111</v>
      </c>
      <c r="AA172" s="65" t="s">
        <v>61</v>
      </c>
      <c r="AB172" s="65" t="s">
        <v>382</v>
      </c>
    </row>
    <row r="173" spans="1:28" ht="28.8" x14ac:dyDescent="0.3">
      <c r="A173" s="65"/>
      <c r="B173" s="41" t="s">
        <v>63</v>
      </c>
      <c r="C173" s="29" t="s">
        <v>18</v>
      </c>
      <c r="D173" s="65" t="s">
        <v>110</v>
      </c>
      <c r="E173" s="65" t="s">
        <v>347</v>
      </c>
      <c r="F173" s="65" t="s">
        <v>33</v>
      </c>
      <c r="G173" s="32" t="s">
        <v>43</v>
      </c>
      <c r="H173" s="65" t="s">
        <v>192</v>
      </c>
      <c r="I173" s="65">
        <v>1</v>
      </c>
      <c r="J173" t="s">
        <v>39</v>
      </c>
      <c r="K173" s="65">
        <v>200</v>
      </c>
      <c r="L173" s="57">
        <v>69846.12</v>
      </c>
      <c r="M173" s="58">
        <v>36</v>
      </c>
      <c r="N173" s="57">
        <v>2</v>
      </c>
      <c r="O173" s="66">
        <v>139692.24</v>
      </c>
      <c r="P173" s="62">
        <v>2</v>
      </c>
      <c r="Q173" s="1">
        <f>IFERROR(ROUND(L173*(1-P173), 2), 0)</f>
        <v>-69846.12</v>
      </c>
      <c r="R173" s="1">
        <f t="shared" si="57"/>
        <v>-139692.24</v>
      </c>
      <c r="S173" s="60">
        <v>0.40000103083750299</v>
      </c>
      <c r="T173" s="60">
        <v>0.66666953010909702</v>
      </c>
      <c r="U173" s="1">
        <f t="shared" si="45"/>
        <v>-46564.28</v>
      </c>
      <c r="V173" s="1">
        <f t="shared" si="58"/>
        <v>-93128.56</v>
      </c>
      <c r="W173" s="56">
        <f>IFERROR((L173-X173)/L173,0)</f>
        <v>2.6666695301041776</v>
      </c>
      <c r="X173" s="1">
        <f t="shared" si="59"/>
        <v>-116410.4</v>
      </c>
      <c r="Y173" s="1">
        <f t="shared" si="50"/>
        <v>-232820.8</v>
      </c>
      <c r="Z173" s="65" t="s">
        <v>111</v>
      </c>
      <c r="AA173" s="65" t="s">
        <v>61</v>
      </c>
      <c r="AB173" s="65" t="s">
        <v>383</v>
      </c>
    </row>
    <row r="174" spans="1:28" ht="28.8" x14ac:dyDescent="0.3">
      <c r="A174" s="65"/>
      <c r="B174" s="41" t="s">
        <v>63</v>
      </c>
      <c r="C174" s="29" t="s">
        <v>18</v>
      </c>
      <c r="D174" s="65" t="s">
        <v>110</v>
      </c>
      <c r="E174" s="65" t="s">
        <v>347</v>
      </c>
      <c r="F174" s="65" t="s">
        <v>33</v>
      </c>
      <c r="G174" s="32" t="s">
        <v>43</v>
      </c>
      <c r="H174" s="65" t="s">
        <v>192</v>
      </c>
      <c r="I174" s="65">
        <v>1</v>
      </c>
      <c r="J174" t="s">
        <v>39</v>
      </c>
      <c r="K174" s="65">
        <v>100</v>
      </c>
      <c r="L174" s="57">
        <v>69846.12</v>
      </c>
      <c r="M174" s="58">
        <v>36</v>
      </c>
      <c r="N174" s="57">
        <v>2</v>
      </c>
      <c r="O174" s="66">
        <v>139692.24</v>
      </c>
      <c r="P174" s="62">
        <v>1</v>
      </c>
      <c r="Q174" s="1">
        <f>IFERROR(ROUND(L174*(1-P174), 2), 0)</f>
        <v>0</v>
      </c>
      <c r="R174" s="1">
        <f t="shared" si="57"/>
        <v>0</v>
      </c>
      <c r="S174" s="60">
        <v>0.40000103083750299</v>
      </c>
      <c r="T174" s="60">
        <v>0.66666953010909702</v>
      </c>
      <c r="U174" s="1">
        <f t="shared" si="45"/>
        <v>0</v>
      </c>
      <c r="V174" s="1">
        <f t="shared" si="58"/>
        <v>0</v>
      </c>
      <c r="W174" s="56">
        <f>IFERROR((L174-X174)/L174,0)</f>
        <v>1</v>
      </c>
      <c r="X174" s="1">
        <f t="shared" si="59"/>
        <v>0</v>
      </c>
      <c r="Y174" s="1">
        <f t="shared" si="50"/>
        <v>0</v>
      </c>
      <c r="Z174" s="65" t="s">
        <v>111</v>
      </c>
      <c r="AA174" s="65" t="s">
        <v>61</v>
      </c>
      <c r="AB174" s="65" t="s">
        <v>384</v>
      </c>
    </row>
    <row r="175" spans="1:28" ht="28.8" x14ac:dyDescent="0.3">
      <c r="A175" s="65" t="s">
        <v>385</v>
      </c>
      <c r="B175" s="41" t="s">
        <v>63</v>
      </c>
      <c r="C175" s="29" t="s">
        <v>18</v>
      </c>
      <c r="D175" s="65" t="s">
        <v>110</v>
      </c>
      <c r="E175" s="65" t="s">
        <v>387</v>
      </c>
      <c r="F175" s="65" t="s">
        <v>33</v>
      </c>
      <c r="G175" s="32" t="s">
        <v>43</v>
      </c>
      <c r="H175" s="65" t="s">
        <v>114</v>
      </c>
      <c r="I175">
        <v>1</v>
      </c>
      <c r="J175" s="65" t="s">
        <v>49</v>
      </c>
      <c r="K175">
        <v>10959.84</v>
      </c>
      <c r="L175" s="1">
        <v>12213.63</v>
      </c>
      <c r="M175" s="1"/>
      <c r="N175" s="1">
        <v>2</v>
      </c>
      <c r="O175" s="1">
        <v>24427.26</v>
      </c>
      <c r="P175" s="56">
        <f t="shared" ref="P175:P187" si="60">IFERROR((L175-Q175)/L175,0)</f>
        <v>0.10265498463601723</v>
      </c>
      <c r="Q175" s="2">
        <v>10959.84</v>
      </c>
      <c r="R175" s="1">
        <f t="shared" si="57"/>
        <v>21919.68</v>
      </c>
      <c r="S175" s="60">
        <v>1.0000302940239699E-2</v>
      </c>
      <c r="T175" s="60">
        <v>1.0101319192258301E-2</v>
      </c>
      <c r="U175" s="1">
        <f t="shared" si="45"/>
        <v>110.70999999999913</v>
      </c>
      <c r="V175" s="1">
        <f t="shared" si="58"/>
        <v>221.42</v>
      </c>
      <c r="W175" s="56">
        <f>IFERROR((L175-X175)/(L175),0)</f>
        <v>9.3590521409277996E-2</v>
      </c>
      <c r="X175" s="1">
        <f>IFERROR(ROUND(Q175/(1-S175), 2), 0)</f>
        <v>11070.55</v>
      </c>
      <c r="Y175" s="1">
        <f t="shared" si="50"/>
        <v>22141.1</v>
      </c>
      <c r="Z175" s="65" t="s">
        <v>111</v>
      </c>
      <c r="AA175" s="65" t="s">
        <v>115</v>
      </c>
      <c r="AB175" s="65" t="s">
        <v>386</v>
      </c>
    </row>
    <row r="176" spans="1:28" ht="28.8" x14ac:dyDescent="0.3">
      <c r="A176" s="65"/>
      <c r="B176" s="41" t="s">
        <v>63</v>
      </c>
      <c r="C176" s="29" t="s">
        <v>18</v>
      </c>
      <c r="D176" s="65" t="s">
        <v>110</v>
      </c>
      <c r="E176" s="65" t="s">
        <v>387</v>
      </c>
      <c r="F176" s="65" t="s">
        <v>33</v>
      </c>
      <c r="G176" s="32" t="s">
        <v>43</v>
      </c>
      <c r="H176" s="65" t="s">
        <v>114</v>
      </c>
      <c r="I176">
        <v>1</v>
      </c>
      <c r="J176" s="65" t="s">
        <v>49</v>
      </c>
      <c r="K176">
        <v>0</v>
      </c>
      <c r="L176" s="1">
        <v>12213.63</v>
      </c>
      <c r="M176" s="1"/>
      <c r="N176" s="1">
        <v>2</v>
      </c>
      <c r="O176" s="1">
        <v>24427.26</v>
      </c>
      <c r="P176" s="56">
        <f t="shared" si="60"/>
        <v>1</v>
      </c>
      <c r="Q176" s="2">
        <v>0</v>
      </c>
      <c r="R176" s="1">
        <f t="shared" si="57"/>
        <v>0</v>
      </c>
      <c r="S176" s="60">
        <v>1.0000302940239699E-2</v>
      </c>
      <c r="T176" s="60">
        <v>1.0101319192258301E-2</v>
      </c>
      <c r="U176" s="1">
        <f t="shared" si="45"/>
        <v>0</v>
      </c>
      <c r="V176" s="1">
        <f t="shared" si="58"/>
        <v>0</v>
      </c>
      <c r="W176" s="56">
        <f>IFERROR((L176-X176)/(L176),0)</f>
        <v>1</v>
      </c>
      <c r="X176" s="1">
        <f>IFERROR(ROUND(Q176/(1-S176), 2), 0)</f>
        <v>0</v>
      </c>
      <c r="Y176" s="1">
        <f t="shared" si="50"/>
        <v>0</v>
      </c>
      <c r="Z176" s="65" t="s">
        <v>111</v>
      </c>
      <c r="AA176" s="65" t="s">
        <v>115</v>
      </c>
      <c r="AB176" s="65" t="s">
        <v>388</v>
      </c>
    </row>
    <row r="177" spans="1:28" ht="28.8" x14ac:dyDescent="0.3">
      <c r="A177" s="65"/>
      <c r="B177" s="41" t="s">
        <v>63</v>
      </c>
      <c r="C177" s="29" t="s">
        <v>18</v>
      </c>
      <c r="D177" s="65" t="s">
        <v>110</v>
      </c>
      <c r="E177" s="65" t="s">
        <v>387</v>
      </c>
      <c r="F177" s="65" t="s">
        <v>33</v>
      </c>
      <c r="G177" s="32" t="s">
        <v>43</v>
      </c>
      <c r="H177" s="65" t="s">
        <v>114</v>
      </c>
      <c r="I177">
        <v>1</v>
      </c>
      <c r="J177" s="65" t="s">
        <v>49</v>
      </c>
      <c r="K177">
        <v>-10959.84</v>
      </c>
      <c r="L177" s="1">
        <v>12213.63</v>
      </c>
      <c r="M177" s="1"/>
      <c r="N177" s="1">
        <v>2</v>
      </c>
      <c r="O177" s="1">
        <v>24427.26</v>
      </c>
      <c r="P177" s="56">
        <f t="shared" si="60"/>
        <v>1.8973450153639828</v>
      </c>
      <c r="Q177" s="2">
        <v>-10959.84</v>
      </c>
      <c r="R177" s="1">
        <f t="shared" si="57"/>
        <v>-21919.68</v>
      </c>
      <c r="S177" s="60">
        <v>1.0000302940239699E-2</v>
      </c>
      <c r="T177" s="60">
        <v>1.0101319192258301E-2</v>
      </c>
      <c r="U177" s="1">
        <f t="shared" si="45"/>
        <v>-110.70999999999913</v>
      </c>
      <c r="V177" s="1">
        <f t="shared" si="58"/>
        <v>-221.42</v>
      </c>
      <c r="W177" s="56">
        <f>IFERROR((L177-X177)/(L177),0)</f>
        <v>1.9064094785907222</v>
      </c>
      <c r="X177" s="1">
        <f>IFERROR(ROUND(Q177/(1-S177), 2), 0)</f>
        <v>-11070.55</v>
      </c>
      <c r="Y177" s="1">
        <f t="shared" si="50"/>
        <v>-22141.1</v>
      </c>
      <c r="Z177" s="65" t="s">
        <v>111</v>
      </c>
      <c r="AA177" s="65" t="s">
        <v>115</v>
      </c>
      <c r="AB177" s="65" t="s">
        <v>389</v>
      </c>
    </row>
    <row r="178" spans="1:28" ht="28.8" x14ac:dyDescent="0.3">
      <c r="A178" s="65"/>
      <c r="B178" s="41" t="s">
        <v>63</v>
      </c>
      <c r="C178" s="29" t="s">
        <v>18</v>
      </c>
      <c r="D178" s="65" t="s">
        <v>110</v>
      </c>
      <c r="E178" s="65" t="s">
        <v>387</v>
      </c>
      <c r="F178" s="65" t="s">
        <v>33</v>
      </c>
      <c r="G178" s="32" t="s">
        <v>43</v>
      </c>
      <c r="H178" s="65" t="s">
        <v>114</v>
      </c>
      <c r="I178">
        <v>1</v>
      </c>
      <c r="J178" s="65" t="s">
        <v>49</v>
      </c>
      <c r="K178" s="1">
        <v>24427.26</v>
      </c>
      <c r="L178" s="1">
        <v>12213.63</v>
      </c>
      <c r="M178" s="1"/>
      <c r="N178" s="1">
        <v>2</v>
      </c>
      <c r="O178" s="1">
        <v>24427.26</v>
      </c>
      <c r="P178" s="56">
        <f t="shared" si="60"/>
        <v>-1</v>
      </c>
      <c r="Q178" s="2">
        <v>24427.26</v>
      </c>
      <c r="R178" s="1">
        <f t="shared" si="57"/>
        <v>48854.52</v>
      </c>
      <c r="S178" s="60">
        <v>1.0000302940239699E-2</v>
      </c>
      <c r="T178" s="60">
        <v>1.0101319192258301E-2</v>
      </c>
      <c r="U178" s="1">
        <f t="shared" si="45"/>
        <v>246.75</v>
      </c>
      <c r="V178" s="1">
        <f t="shared" si="58"/>
        <v>493.5</v>
      </c>
      <c r="W178" s="56">
        <f>IFERROR((L178-X178)/(L178),0)</f>
        <v>-1.0202028389594249</v>
      </c>
      <c r="X178" s="1">
        <f>IFERROR(ROUND(Q178/(1-S178), 2), 0)</f>
        <v>24674.01</v>
      </c>
      <c r="Y178" s="1">
        <f t="shared" si="50"/>
        <v>49348.02</v>
      </c>
      <c r="Z178" s="65" t="s">
        <v>111</v>
      </c>
      <c r="AA178" s="65" t="s">
        <v>115</v>
      </c>
      <c r="AB178" s="65" t="s">
        <v>390</v>
      </c>
    </row>
    <row r="179" spans="1:28" ht="28.8" x14ac:dyDescent="0.3">
      <c r="A179" s="65" t="s">
        <v>391</v>
      </c>
      <c r="B179" s="41" t="s">
        <v>63</v>
      </c>
      <c r="C179" s="29" t="s">
        <v>18</v>
      </c>
      <c r="D179" s="65" t="s">
        <v>110</v>
      </c>
      <c r="E179" s="65" t="s">
        <v>387</v>
      </c>
      <c r="F179" s="65" t="s">
        <v>33</v>
      </c>
      <c r="G179" s="32" t="s">
        <v>43</v>
      </c>
      <c r="H179" s="65" t="s">
        <v>114</v>
      </c>
      <c r="I179">
        <v>1</v>
      </c>
      <c r="J179" s="65" t="s">
        <v>52</v>
      </c>
      <c r="K179">
        <v>5.7364889999999997</v>
      </c>
      <c r="L179" s="1">
        <v>12213.63</v>
      </c>
      <c r="M179" s="1"/>
      <c r="N179" s="1">
        <v>2</v>
      </c>
      <c r="O179" s="1">
        <v>24427.26</v>
      </c>
      <c r="P179" s="56">
        <f t="shared" si="60"/>
        <v>5.425250314607525E-2</v>
      </c>
      <c r="Q179" s="1">
        <f>IFERROR(ROUND(X179/(1+T179), 2), 0)</f>
        <v>11551.01</v>
      </c>
      <c r="R179" s="1">
        <f t="shared" si="57"/>
        <v>23102.02</v>
      </c>
      <c r="S179" s="56">
        <f t="shared" ref="S179:S187" si="61">IFERROR((X179-Q179)/X179,0)</f>
        <v>5.425250314607525E-2</v>
      </c>
      <c r="T179" s="64">
        <v>5.7364890000000002E-2</v>
      </c>
      <c r="U179" s="1">
        <f t="shared" si="45"/>
        <v>662.61999999999898</v>
      </c>
      <c r="V179" s="1">
        <f t="shared" si="58"/>
        <v>1325.24</v>
      </c>
      <c r="W179" s="55">
        <v>0</v>
      </c>
      <c r="X179" s="1">
        <v>12213.63</v>
      </c>
      <c r="Y179" s="1">
        <v>24427.26</v>
      </c>
      <c r="Z179" s="65" t="s">
        <v>111</v>
      </c>
      <c r="AA179" s="65" t="s">
        <v>115</v>
      </c>
      <c r="AB179" s="65" t="s">
        <v>392</v>
      </c>
    </row>
    <row r="180" spans="1:28" ht="28.8" x14ac:dyDescent="0.3">
      <c r="A180" s="65"/>
      <c r="B180" s="41" t="s">
        <v>63</v>
      </c>
      <c r="C180" s="29" t="s">
        <v>18</v>
      </c>
      <c r="D180" s="65" t="s">
        <v>110</v>
      </c>
      <c r="E180" s="65" t="s">
        <v>387</v>
      </c>
      <c r="F180" s="65" t="s">
        <v>33</v>
      </c>
      <c r="G180" s="32" t="s">
        <v>43</v>
      </c>
      <c r="H180" s="65" t="s">
        <v>114</v>
      </c>
      <c r="I180">
        <v>1</v>
      </c>
      <c r="J180" s="65" t="s">
        <v>52</v>
      </c>
      <c r="K180">
        <v>0</v>
      </c>
      <c r="L180" s="1">
        <v>12213.63</v>
      </c>
      <c r="M180" s="1"/>
      <c r="N180" s="1">
        <v>2</v>
      </c>
      <c r="O180" s="1">
        <v>24427.26</v>
      </c>
      <c r="P180" s="56">
        <f t="shared" si="60"/>
        <v>0</v>
      </c>
      <c r="Q180" s="1">
        <f>IFERROR(ROUND(X180/(1+T180), 2), 0)</f>
        <v>12213.63</v>
      </c>
      <c r="R180" s="1">
        <f t="shared" si="57"/>
        <v>24427.26</v>
      </c>
      <c r="S180" s="56">
        <f t="shared" si="61"/>
        <v>0</v>
      </c>
      <c r="T180" s="64">
        <v>0</v>
      </c>
      <c r="U180" s="1">
        <f t="shared" si="45"/>
        <v>0</v>
      </c>
      <c r="V180" s="1">
        <f t="shared" si="58"/>
        <v>0</v>
      </c>
      <c r="W180" s="55">
        <v>0</v>
      </c>
      <c r="X180" s="1">
        <v>12213.63</v>
      </c>
      <c r="Y180" s="1">
        <v>24427.26</v>
      </c>
      <c r="Z180" s="65" t="s">
        <v>111</v>
      </c>
      <c r="AA180" s="65" t="s">
        <v>115</v>
      </c>
      <c r="AB180" s="65" t="s">
        <v>393</v>
      </c>
    </row>
    <row r="181" spans="1:28" ht="28.8" x14ac:dyDescent="0.3">
      <c r="A181" s="65"/>
      <c r="B181" s="41" t="s">
        <v>63</v>
      </c>
      <c r="C181" s="29" t="s">
        <v>18</v>
      </c>
      <c r="D181" s="65" t="s">
        <v>110</v>
      </c>
      <c r="E181" s="65" t="s">
        <v>387</v>
      </c>
      <c r="F181" s="65" t="s">
        <v>33</v>
      </c>
      <c r="G181" s="32" t="s">
        <v>43</v>
      </c>
      <c r="H181" s="65" t="s">
        <v>114</v>
      </c>
      <c r="I181">
        <v>1</v>
      </c>
      <c r="J181" s="65" t="s">
        <v>52</v>
      </c>
      <c r="K181">
        <v>-5.7364889999999997</v>
      </c>
      <c r="L181" s="1">
        <v>12213.63</v>
      </c>
      <c r="M181" s="1"/>
      <c r="N181" s="1">
        <v>2</v>
      </c>
      <c r="O181" s="1">
        <v>24427.26</v>
      </c>
      <c r="P181" s="56">
        <f t="shared" si="60"/>
        <v>-6.0855781614475017E-2</v>
      </c>
      <c r="Q181" s="1">
        <f>IFERROR(ROUND(X181/(1+T181), 2), 0)</f>
        <v>12956.9</v>
      </c>
      <c r="R181" s="1">
        <f t="shared" si="57"/>
        <v>25913.8</v>
      </c>
      <c r="S181" s="56">
        <f t="shared" si="61"/>
        <v>-6.0855781614475017E-2</v>
      </c>
      <c r="T181" s="64">
        <v>-5.7364890000000002E-2</v>
      </c>
      <c r="U181" s="1">
        <f t="shared" si="45"/>
        <v>-743.27000000000044</v>
      </c>
      <c r="V181" s="1">
        <f t="shared" si="58"/>
        <v>-1486.54</v>
      </c>
      <c r="W181" s="55">
        <v>0</v>
      </c>
      <c r="X181" s="1">
        <v>12213.63</v>
      </c>
      <c r="Y181" s="1">
        <v>24427.26</v>
      </c>
      <c r="Z181" s="65" t="s">
        <v>111</v>
      </c>
      <c r="AA181" s="65" t="s">
        <v>115</v>
      </c>
      <c r="AB181" s="65" t="s">
        <v>394</v>
      </c>
    </row>
    <row r="182" spans="1:28" ht="28.8" x14ac:dyDescent="0.3">
      <c r="A182" s="65"/>
      <c r="B182" s="41" t="s">
        <v>63</v>
      </c>
      <c r="C182" s="29" t="s">
        <v>18</v>
      </c>
      <c r="D182" s="65" t="s">
        <v>110</v>
      </c>
      <c r="E182" s="65" t="s">
        <v>387</v>
      </c>
      <c r="F182" s="65" t="s">
        <v>33</v>
      </c>
      <c r="G182" s="32" t="s">
        <v>43</v>
      </c>
      <c r="H182" s="65" t="s">
        <v>114</v>
      </c>
      <c r="I182">
        <v>1</v>
      </c>
      <c r="J182" s="65" t="s">
        <v>52</v>
      </c>
      <c r="K182">
        <v>200</v>
      </c>
      <c r="L182" s="1">
        <v>12213.63</v>
      </c>
      <c r="M182" s="1"/>
      <c r="N182" s="1">
        <v>2</v>
      </c>
      <c r="O182" s="1">
        <v>24427.26</v>
      </c>
      <c r="P182" s="56">
        <f t="shared" si="60"/>
        <v>0.66666666666666663</v>
      </c>
      <c r="Q182" s="1">
        <f>IFERROR(ROUND(X182/(1+T182), 2), 0)</f>
        <v>4071.21</v>
      </c>
      <c r="R182" s="1">
        <f t="shared" si="57"/>
        <v>8142.42</v>
      </c>
      <c r="S182" s="56">
        <f t="shared" si="61"/>
        <v>0.66666666666666663</v>
      </c>
      <c r="T182" s="64">
        <v>2</v>
      </c>
      <c r="U182" s="1">
        <f t="shared" si="45"/>
        <v>8142.4199999999992</v>
      </c>
      <c r="V182" s="1">
        <f t="shared" si="58"/>
        <v>16284.84</v>
      </c>
      <c r="W182" s="55">
        <v>0</v>
      </c>
      <c r="X182" s="1">
        <v>12213.63</v>
      </c>
      <c r="Y182" s="1">
        <v>24427.26</v>
      </c>
      <c r="Z182" s="65" t="s">
        <v>111</v>
      </c>
      <c r="AA182" s="65" t="s">
        <v>115</v>
      </c>
      <c r="AB182" s="65" t="s">
        <v>395</v>
      </c>
    </row>
    <row r="183" spans="1:28" ht="28.8" x14ac:dyDescent="0.3">
      <c r="A183" s="65"/>
      <c r="B183" s="41" t="s">
        <v>63</v>
      </c>
      <c r="C183" s="29" t="s">
        <v>18</v>
      </c>
      <c r="D183" s="65" t="s">
        <v>110</v>
      </c>
      <c r="E183" s="65" t="s">
        <v>387</v>
      </c>
      <c r="F183" s="65" t="s">
        <v>33</v>
      </c>
      <c r="G183" s="32" t="s">
        <v>43</v>
      </c>
      <c r="H183" s="65" t="s">
        <v>114</v>
      </c>
      <c r="I183">
        <v>1</v>
      </c>
      <c r="J183" s="65" t="s">
        <v>52</v>
      </c>
      <c r="K183">
        <v>100</v>
      </c>
      <c r="L183" s="1">
        <v>12213.63</v>
      </c>
      <c r="M183" s="1"/>
      <c r="N183" s="1">
        <v>2</v>
      </c>
      <c r="O183" s="1">
        <v>24427.26</v>
      </c>
      <c r="P183" s="56">
        <f t="shared" si="60"/>
        <v>0.49999959062129767</v>
      </c>
      <c r="Q183" s="1">
        <f>IFERROR(ROUND(X183/(1+T183), 2), 0)</f>
        <v>6106.82</v>
      </c>
      <c r="R183" s="1">
        <f t="shared" si="57"/>
        <v>12213.64</v>
      </c>
      <c r="S183" s="56">
        <f t="shared" si="61"/>
        <v>0.49999959062129767</v>
      </c>
      <c r="T183" s="64">
        <v>1</v>
      </c>
      <c r="U183" s="1">
        <f t="shared" si="45"/>
        <v>6106.8099999999995</v>
      </c>
      <c r="V183" s="1">
        <f t="shared" si="58"/>
        <v>12213.62</v>
      </c>
      <c r="W183" s="55">
        <v>0</v>
      </c>
      <c r="X183" s="1">
        <v>12213.63</v>
      </c>
      <c r="Y183" s="1">
        <v>24427.26</v>
      </c>
      <c r="Z183" s="65" t="s">
        <v>111</v>
      </c>
      <c r="AA183" s="65" t="s">
        <v>115</v>
      </c>
      <c r="AB183" s="65" t="s">
        <v>396</v>
      </c>
    </row>
    <row r="184" spans="1:28" ht="28.8" x14ac:dyDescent="0.3">
      <c r="A184" s="65" t="s">
        <v>397</v>
      </c>
      <c r="B184" s="41" t="s">
        <v>63</v>
      </c>
      <c r="C184" s="29" t="s">
        <v>18</v>
      </c>
      <c r="D184" s="65" t="s">
        <v>235</v>
      </c>
      <c r="E184" s="65" t="s">
        <v>387</v>
      </c>
      <c r="F184" s="65" t="s">
        <v>33</v>
      </c>
      <c r="G184" s="32" t="s">
        <v>43</v>
      </c>
      <c r="H184" s="65" t="s">
        <v>238</v>
      </c>
      <c r="I184">
        <v>1</v>
      </c>
      <c r="J184" s="65" t="s">
        <v>53</v>
      </c>
      <c r="K184" s="65">
        <v>16575.96</v>
      </c>
      <c r="L184" s="1">
        <v>189270</v>
      </c>
      <c r="M184" s="1"/>
      <c r="N184" s="1">
        <v>2</v>
      </c>
      <c r="O184" s="1">
        <v>378540</v>
      </c>
      <c r="P184" s="56">
        <f t="shared" si="60"/>
        <v>8.7578380091932112E-2</v>
      </c>
      <c r="Q184" s="1">
        <f>IFERROR(ROUND(X184-U184, 2), 0)</f>
        <v>172694.04</v>
      </c>
      <c r="R184" s="1">
        <f t="shared" si="57"/>
        <v>345388.08</v>
      </c>
      <c r="S184" s="56">
        <f t="shared" si="61"/>
        <v>8.7578380091932112E-2</v>
      </c>
      <c r="T184" s="56">
        <f>IFERROR((X184-Q184)/Q184,0)</f>
        <v>9.5984551638261459E-2</v>
      </c>
      <c r="U184" s="2">
        <v>16575.96</v>
      </c>
      <c r="V184" s="1">
        <f t="shared" si="58"/>
        <v>33151.919999999998</v>
      </c>
      <c r="W184" s="55">
        <v>0</v>
      </c>
      <c r="X184" s="1">
        <v>189270</v>
      </c>
      <c r="Y184" s="1">
        <v>378540</v>
      </c>
      <c r="Z184" s="65" t="s">
        <v>236</v>
      </c>
      <c r="AA184" s="65" t="s">
        <v>239</v>
      </c>
      <c r="AB184" s="65" t="s">
        <v>398</v>
      </c>
    </row>
    <row r="185" spans="1:28" ht="28.8" x14ac:dyDescent="0.3">
      <c r="A185" s="65"/>
      <c r="B185" s="41" t="s">
        <v>63</v>
      </c>
      <c r="C185" s="29" t="s">
        <v>18</v>
      </c>
      <c r="D185" s="65" t="s">
        <v>235</v>
      </c>
      <c r="E185" s="65" t="s">
        <v>387</v>
      </c>
      <c r="F185" s="65" t="s">
        <v>33</v>
      </c>
      <c r="G185" s="32" t="s">
        <v>43</v>
      </c>
      <c r="H185" s="65" t="s">
        <v>238</v>
      </c>
      <c r="I185">
        <v>1</v>
      </c>
      <c r="J185" s="65" t="s">
        <v>53</v>
      </c>
      <c r="K185">
        <v>0</v>
      </c>
      <c r="L185" s="1">
        <v>189270</v>
      </c>
      <c r="M185" s="1"/>
      <c r="N185" s="1">
        <v>2</v>
      </c>
      <c r="O185" s="1">
        <v>378540</v>
      </c>
      <c r="P185" s="56">
        <f t="shared" si="60"/>
        <v>0</v>
      </c>
      <c r="Q185" s="1">
        <f>IFERROR(ROUND(X185-U185, 2), 0)</f>
        <v>189270</v>
      </c>
      <c r="R185" s="1">
        <f t="shared" si="57"/>
        <v>378540</v>
      </c>
      <c r="S185" s="56">
        <f t="shared" si="61"/>
        <v>0</v>
      </c>
      <c r="T185" s="56">
        <f>IFERROR((X185-Q185)/Q185,0)</f>
        <v>0</v>
      </c>
      <c r="U185" s="2">
        <v>0</v>
      </c>
      <c r="V185" s="1">
        <f t="shared" si="58"/>
        <v>0</v>
      </c>
      <c r="W185" s="55">
        <v>0</v>
      </c>
      <c r="X185" s="1">
        <v>189270</v>
      </c>
      <c r="Y185" s="1">
        <v>378540</v>
      </c>
      <c r="Z185" s="65" t="s">
        <v>236</v>
      </c>
      <c r="AA185" s="65" t="s">
        <v>239</v>
      </c>
      <c r="AB185" s="65" t="s">
        <v>399</v>
      </c>
    </row>
    <row r="186" spans="1:28" ht="28.8" x14ac:dyDescent="0.3">
      <c r="A186" s="65"/>
      <c r="B186" s="41" t="s">
        <v>63</v>
      </c>
      <c r="C186" s="29" t="s">
        <v>18</v>
      </c>
      <c r="D186" s="65" t="s">
        <v>235</v>
      </c>
      <c r="E186" s="65" t="s">
        <v>387</v>
      </c>
      <c r="F186" s="65" t="s">
        <v>33</v>
      </c>
      <c r="G186" s="32" t="s">
        <v>43</v>
      </c>
      <c r="H186" s="65" t="s">
        <v>238</v>
      </c>
      <c r="I186">
        <v>1</v>
      </c>
      <c r="J186" s="65" t="s">
        <v>53</v>
      </c>
      <c r="K186">
        <v>-16575.96</v>
      </c>
      <c r="L186" s="1">
        <v>189270</v>
      </c>
      <c r="M186" s="1"/>
      <c r="N186" s="1">
        <v>2</v>
      </c>
      <c r="O186" s="1">
        <v>378540</v>
      </c>
      <c r="P186" s="56">
        <f t="shared" si="60"/>
        <v>-8.7578380091932112E-2</v>
      </c>
      <c r="Q186" s="1">
        <f>IFERROR(ROUND(X186-U186, 2), 0)</f>
        <v>205845.96</v>
      </c>
      <c r="R186" s="1">
        <f t="shared" si="57"/>
        <v>411691.92</v>
      </c>
      <c r="S186" s="56">
        <f t="shared" si="61"/>
        <v>-8.7578380091932112E-2</v>
      </c>
      <c r="T186" s="56">
        <f>IFERROR((X186-Q186)/Q186,0)</f>
        <v>-8.0526039957257323E-2</v>
      </c>
      <c r="U186" s="2">
        <v>-16575.96</v>
      </c>
      <c r="V186" s="1">
        <f t="shared" si="58"/>
        <v>-33151.919999999998</v>
      </c>
      <c r="W186" s="55">
        <v>0</v>
      </c>
      <c r="X186" s="1">
        <v>189270</v>
      </c>
      <c r="Y186" s="1">
        <v>378540</v>
      </c>
      <c r="Z186" s="65" t="s">
        <v>236</v>
      </c>
      <c r="AA186" s="65" t="s">
        <v>239</v>
      </c>
      <c r="AB186" s="65" t="s">
        <v>400</v>
      </c>
    </row>
    <row r="187" spans="1:28" ht="28.8" x14ac:dyDescent="0.3">
      <c r="A187" s="65"/>
      <c r="B187" s="41" t="s">
        <v>63</v>
      </c>
      <c r="C187" s="29" t="s">
        <v>18</v>
      </c>
      <c r="D187" s="65" t="s">
        <v>235</v>
      </c>
      <c r="E187" s="65" t="s">
        <v>387</v>
      </c>
      <c r="F187" s="65" t="s">
        <v>33</v>
      </c>
      <c r="G187" s="32" t="s">
        <v>43</v>
      </c>
      <c r="H187" s="65" t="s">
        <v>238</v>
      </c>
      <c r="I187">
        <v>1</v>
      </c>
      <c r="J187" s="65" t="s">
        <v>53</v>
      </c>
      <c r="K187" s="1">
        <v>378540</v>
      </c>
      <c r="L187" s="1">
        <v>189270</v>
      </c>
      <c r="M187" s="1"/>
      <c r="N187" s="1">
        <v>2</v>
      </c>
      <c r="O187" s="1">
        <v>378540</v>
      </c>
      <c r="P187" s="56">
        <f t="shared" si="60"/>
        <v>2</v>
      </c>
      <c r="Q187" s="1">
        <f>IFERROR(ROUND(X187-U187, 2), 0)</f>
        <v>-189270</v>
      </c>
      <c r="R187" s="1">
        <f t="shared" si="57"/>
        <v>-378540</v>
      </c>
      <c r="S187" s="56">
        <f t="shared" si="61"/>
        <v>2</v>
      </c>
      <c r="T187" s="56">
        <f>IFERROR((X187-Q187)/Q187,0)</f>
        <v>-2</v>
      </c>
      <c r="U187" s="2">
        <v>378540</v>
      </c>
      <c r="V187" s="1">
        <f t="shared" si="58"/>
        <v>757080</v>
      </c>
      <c r="W187" s="55">
        <v>0</v>
      </c>
      <c r="X187" s="1">
        <v>189270</v>
      </c>
      <c r="Y187" s="1">
        <v>378540</v>
      </c>
      <c r="Z187" s="65" t="s">
        <v>236</v>
      </c>
      <c r="AA187" s="65" t="s">
        <v>239</v>
      </c>
      <c r="AB187" s="65" t="s">
        <v>401</v>
      </c>
    </row>
    <row r="188" spans="1:28" ht="28.8" x14ac:dyDescent="0.3">
      <c r="A188" s="65" t="s">
        <v>402</v>
      </c>
      <c r="B188" s="41" t="s">
        <v>63</v>
      </c>
      <c r="C188" s="29" t="s">
        <v>18</v>
      </c>
      <c r="D188" t="s">
        <v>130</v>
      </c>
      <c r="E188" s="65" t="s">
        <v>387</v>
      </c>
      <c r="F188" s="65" t="s">
        <v>33</v>
      </c>
      <c r="G188" s="32" t="s">
        <v>43</v>
      </c>
      <c r="H188" s="65" t="s">
        <v>133</v>
      </c>
      <c r="I188">
        <v>1</v>
      </c>
      <c r="J188" t="s">
        <v>55</v>
      </c>
      <c r="K188">
        <v>36.89</v>
      </c>
      <c r="L188" s="1">
        <v>70</v>
      </c>
      <c r="M188" s="1">
        <v>36</v>
      </c>
      <c r="N188" s="1">
        <v>72</v>
      </c>
      <c r="O188" s="1">
        <v>181440</v>
      </c>
      <c r="P188" s="56">
        <f>IFERROR((M188*L188-Q188)/(M188*L188),0)</f>
        <v>0.74124999999999996</v>
      </c>
      <c r="Q188" s="1">
        <f t="shared" ref="Q188:Q196" si="62">IFERROR(ROUND(X188/(1+T188), 2), 0)</f>
        <v>652.04999999999995</v>
      </c>
      <c r="R188" s="1">
        <f t="shared" si="57"/>
        <v>46947.6</v>
      </c>
      <c r="S188" s="60">
        <v>0.59</v>
      </c>
      <c r="T188" s="60">
        <v>1.4390243902438999</v>
      </c>
      <c r="U188" s="1">
        <f t="shared" ref="U188:U247" si="63">X188-Q188</f>
        <v>938.31999999999994</v>
      </c>
      <c r="V188" s="1">
        <f t="shared" si="58"/>
        <v>67559.039999999994</v>
      </c>
      <c r="W188" s="62">
        <v>0.36890000000000001</v>
      </c>
      <c r="X188" s="1">
        <f>IFERROR(ROUND(M188*L188*(1-W188), 2), 0)</f>
        <v>1590.37</v>
      </c>
      <c r="Y188" s="1">
        <f t="shared" ref="Y188:Y196" si="64">IFERROR(ROUND(X188*N188, 2), 0)</f>
        <v>114506.64</v>
      </c>
      <c r="Z188" t="s">
        <v>131</v>
      </c>
      <c r="AA188" s="65" t="s">
        <v>134</v>
      </c>
      <c r="AB188" s="65" t="s">
        <v>403</v>
      </c>
    </row>
    <row r="189" spans="1:28" ht="28.8" x14ac:dyDescent="0.3">
      <c r="A189" s="65"/>
      <c r="B189" s="41" t="s">
        <v>63</v>
      </c>
      <c r="C189" s="29" t="s">
        <v>18</v>
      </c>
      <c r="D189" t="s">
        <v>130</v>
      </c>
      <c r="E189" s="65" t="s">
        <v>387</v>
      </c>
      <c r="F189" s="65" t="s">
        <v>33</v>
      </c>
      <c r="G189" s="32" t="s">
        <v>43</v>
      </c>
      <c r="H189" s="65" t="s">
        <v>133</v>
      </c>
      <c r="I189">
        <v>1</v>
      </c>
      <c r="J189" t="s">
        <v>55</v>
      </c>
      <c r="K189">
        <v>0</v>
      </c>
      <c r="L189" s="1">
        <v>70</v>
      </c>
      <c r="M189" s="1">
        <v>36</v>
      </c>
      <c r="N189" s="1">
        <v>72</v>
      </c>
      <c r="O189" s="1">
        <v>181440</v>
      </c>
      <c r="P189" s="56">
        <f>IFERROR((M189*L189-Q189)/(M189*L189),0)</f>
        <v>0.59</v>
      </c>
      <c r="Q189" s="1">
        <f t="shared" si="62"/>
        <v>1033.2</v>
      </c>
      <c r="R189" s="1">
        <f t="shared" si="57"/>
        <v>74390.399999999994</v>
      </c>
      <c r="S189" s="60">
        <v>0.59</v>
      </c>
      <c r="T189" s="60">
        <v>1.4390243902438999</v>
      </c>
      <c r="U189" s="1">
        <f t="shared" si="63"/>
        <v>1486.8</v>
      </c>
      <c r="V189" s="1">
        <f t="shared" si="58"/>
        <v>107049.60000000001</v>
      </c>
      <c r="W189" s="62">
        <v>0</v>
      </c>
      <c r="X189" s="1">
        <f>IFERROR(ROUND(M189*L189*(1-W189), 2), 0)</f>
        <v>2520</v>
      </c>
      <c r="Y189" s="1">
        <f t="shared" si="64"/>
        <v>181440</v>
      </c>
      <c r="Z189" t="s">
        <v>131</v>
      </c>
      <c r="AA189" s="65" t="s">
        <v>134</v>
      </c>
      <c r="AB189" s="65" t="s">
        <v>404</v>
      </c>
    </row>
    <row r="190" spans="1:28" ht="28.8" x14ac:dyDescent="0.3">
      <c r="A190" s="65"/>
      <c r="B190" s="41" t="s">
        <v>63</v>
      </c>
      <c r="C190" s="29" t="s">
        <v>18</v>
      </c>
      <c r="D190" t="s">
        <v>130</v>
      </c>
      <c r="E190" s="65" t="s">
        <v>387</v>
      </c>
      <c r="F190" s="65" t="s">
        <v>33</v>
      </c>
      <c r="G190" s="32" t="s">
        <v>43</v>
      </c>
      <c r="H190" s="65" t="s">
        <v>133</v>
      </c>
      <c r="I190">
        <v>1</v>
      </c>
      <c r="J190" t="s">
        <v>55</v>
      </c>
      <c r="K190">
        <v>-36.89</v>
      </c>
      <c r="L190" s="1">
        <v>70</v>
      </c>
      <c r="M190" s="1">
        <v>36</v>
      </c>
      <c r="N190" s="1">
        <v>72</v>
      </c>
      <c r="O190" s="1">
        <v>181440</v>
      </c>
      <c r="P190" s="56">
        <f>IFERROR((M190*L190-Q190)/(M190*L190),0)</f>
        <v>0.43875000000000003</v>
      </c>
      <c r="Q190" s="1">
        <f t="shared" si="62"/>
        <v>1414.35</v>
      </c>
      <c r="R190" s="1">
        <f t="shared" si="57"/>
        <v>101833.2</v>
      </c>
      <c r="S190" s="60">
        <v>0.59</v>
      </c>
      <c r="T190" s="60">
        <v>1.4390243902438999</v>
      </c>
      <c r="U190" s="1">
        <f t="shared" si="63"/>
        <v>2035.2800000000002</v>
      </c>
      <c r="V190" s="1">
        <f t="shared" si="58"/>
        <v>146540.16</v>
      </c>
      <c r="W190" s="62">
        <v>-0.36890000000000001</v>
      </c>
      <c r="X190" s="1">
        <f>IFERROR(ROUND(M190*L190*(1-W190), 2), 0)</f>
        <v>3449.63</v>
      </c>
      <c r="Y190" s="1">
        <f t="shared" si="64"/>
        <v>248373.36</v>
      </c>
      <c r="Z190" t="s">
        <v>131</v>
      </c>
      <c r="AA190" s="65" t="s">
        <v>134</v>
      </c>
      <c r="AB190" s="65" t="s">
        <v>405</v>
      </c>
    </row>
    <row r="191" spans="1:28" ht="28.8" x14ac:dyDescent="0.3">
      <c r="A191" s="65"/>
      <c r="B191" s="41" t="s">
        <v>63</v>
      </c>
      <c r="C191" s="29" t="s">
        <v>18</v>
      </c>
      <c r="D191" t="s">
        <v>130</v>
      </c>
      <c r="E191" s="65" t="s">
        <v>387</v>
      </c>
      <c r="F191" s="65" t="s">
        <v>33</v>
      </c>
      <c r="G191" s="32" t="s">
        <v>43</v>
      </c>
      <c r="H191" s="65" t="s">
        <v>133</v>
      </c>
      <c r="I191">
        <v>1</v>
      </c>
      <c r="J191" t="s">
        <v>55</v>
      </c>
      <c r="K191">
        <v>200</v>
      </c>
      <c r="L191" s="1">
        <v>70</v>
      </c>
      <c r="M191" s="1">
        <v>36</v>
      </c>
      <c r="N191" s="1">
        <v>72</v>
      </c>
      <c r="O191" s="1">
        <v>181440</v>
      </c>
      <c r="P191" s="56">
        <f>IFERROR((M191*L191-Q191)/(M191*L191),0)</f>
        <v>1.41</v>
      </c>
      <c r="Q191" s="1">
        <f t="shared" si="62"/>
        <v>-1033.2</v>
      </c>
      <c r="R191" s="1">
        <f t="shared" si="57"/>
        <v>-74390.399999999994</v>
      </c>
      <c r="S191" s="60">
        <v>0.59</v>
      </c>
      <c r="T191" s="60">
        <v>1.4390243902438999</v>
      </c>
      <c r="U191" s="1">
        <f t="shared" si="63"/>
        <v>-1486.8</v>
      </c>
      <c r="V191" s="1">
        <f t="shared" si="58"/>
        <v>-107049.60000000001</v>
      </c>
      <c r="W191" s="62">
        <v>2</v>
      </c>
      <c r="X191" s="1">
        <f>IFERROR(ROUND(M191*L191*(1-W191), 2), 0)</f>
        <v>-2520</v>
      </c>
      <c r="Y191" s="1">
        <f t="shared" si="64"/>
        <v>-181440</v>
      </c>
      <c r="Z191" t="s">
        <v>131</v>
      </c>
      <c r="AA191" s="65" t="s">
        <v>134</v>
      </c>
      <c r="AB191" s="65" t="s">
        <v>406</v>
      </c>
    </row>
    <row r="192" spans="1:28" ht="28.8" x14ac:dyDescent="0.3">
      <c r="A192" s="65"/>
      <c r="B192" s="41" t="s">
        <v>63</v>
      </c>
      <c r="C192" s="29" t="s">
        <v>18</v>
      </c>
      <c r="D192" t="s">
        <v>130</v>
      </c>
      <c r="E192" s="65" t="s">
        <v>387</v>
      </c>
      <c r="F192" s="65" t="s">
        <v>33</v>
      </c>
      <c r="G192" s="32" t="s">
        <v>43</v>
      </c>
      <c r="H192" s="65" t="s">
        <v>133</v>
      </c>
      <c r="I192">
        <v>1</v>
      </c>
      <c r="J192" t="s">
        <v>55</v>
      </c>
      <c r="K192">
        <v>100</v>
      </c>
      <c r="L192" s="1">
        <v>70</v>
      </c>
      <c r="M192" s="1">
        <v>36</v>
      </c>
      <c r="N192" s="1">
        <v>72</v>
      </c>
      <c r="O192" s="1">
        <v>181440</v>
      </c>
      <c r="P192" s="56">
        <f>IFERROR((M192*L192-Q192)/(M192*L192),0)</f>
        <v>1</v>
      </c>
      <c r="Q192" s="1">
        <f t="shared" si="62"/>
        <v>0</v>
      </c>
      <c r="R192" s="1">
        <f t="shared" si="57"/>
        <v>0</v>
      </c>
      <c r="S192" s="60">
        <v>0.59</v>
      </c>
      <c r="T192" s="60">
        <v>1.4390243902438999</v>
      </c>
      <c r="U192" s="1">
        <f t="shared" si="63"/>
        <v>0</v>
      </c>
      <c r="V192" s="1">
        <f t="shared" si="58"/>
        <v>0</v>
      </c>
      <c r="W192" s="62">
        <v>1</v>
      </c>
      <c r="X192" s="1">
        <f>IFERROR(ROUND(M192*L192*(1-W192), 2), 0)</f>
        <v>0</v>
      </c>
      <c r="Y192" s="1">
        <f t="shared" si="64"/>
        <v>0</v>
      </c>
      <c r="Z192" t="s">
        <v>131</v>
      </c>
      <c r="AA192" s="65" t="s">
        <v>134</v>
      </c>
      <c r="AB192" s="65" t="s">
        <v>407</v>
      </c>
    </row>
    <row r="193" spans="1:28" ht="28.8" x14ac:dyDescent="0.3">
      <c r="A193" s="65" t="s">
        <v>408</v>
      </c>
      <c r="B193" s="41" t="s">
        <v>63</v>
      </c>
      <c r="C193" s="29" t="s">
        <v>18</v>
      </c>
      <c r="D193" s="65" t="s">
        <v>110</v>
      </c>
      <c r="E193" s="65" t="s">
        <v>387</v>
      </c>
      <c r="F193" s="65" t="s">
        <v>33</v>
      </c>
      <c r="G193" s="32" t="s">
        <v>43</v>
      </c>
      <c r="H193" s="65" t="s">
        <v>192</v>
      </c>
      <c r="I193" s="65">
        <v>1</v>
      </c>
      <c r="J193" s="65" t="s">
        <v>56</v>
      </c>
      <c r="K193" s="65">
        <v>60851.25</v>
      </c>
      <c r="L193" s="57">
        <v>69846.12</v>
      </c>
      <c r="M193" s="58">
        <v>36</v>
      </c>
      <c r="N193" s="57">
        <v>2</v>
      </c>
      <c r="O193" s="66">
        <v>139692.24</v>
      </c>
      <c r="P193" s="56">
        <f>IFERROR((L193-Q193)/L193,0)</f>
        <v>0.4772696035227153</v>
      </c>
      <c r="Q193" s="1">
        <f t="shared" si="62"/>
        <v>36510.69</v>
      </c>
      <c r="R193" s="1">
        <f t="shared" si="57"/>
        <v>73021.38</v>
      </c>
      <c r="S193" s="60">
        <v>0.40000103083750299</v>
      </c>
      <c r="T193" s="60">
        <v>0.66666953010909702</v>
      </c>
      <c r="U193" s="1">
        <f t="shared" si="63"/>
        <v>24340.559999999998</v>
      </c>
      <c r="V193" s="1">
        <f t="shared" si="58"/>
        <v>48681.120000000003</v>
      </c>
      <c r="W193" s="56">
        <f>IFERROR((L193-X193)/L193,0)</f>
        <v>0.12878124081910342</v>
      </c>
      <c r="X193" s="3">
        <v>60851.25</v>
      </c>
      <c r="Y193" s="1">
        <f t="shared" si="64"/>
        <v>121702.5</v>
      </c>
      <c r="Z193" s="65" t="s">
        <v>111</v>
      </c>
      <c r="AA193" s="65" t="s">
        <v>61</v>
      </c>
      <c r="AB193" s="65" t="s">
        <v>409</v>
      </c>
    </row>
    <row r="194" spans="1:28" ht="28.8" x14ac:dyDescent="0.3">
      <c r="A194" s="65"/>
      <c r="B194" s="41" t="s">
        <v>63</v>
      </c>
      <c r="C194" s="29" t="s">
        <v>18</v>
      </c>
      <c r="D194" s="65" t="s">
        <v>110</v>
      </c>
      <c r="E194" s="65" t="s">
        <v>387</v>
      </c>
      <c r="F194" s="65" t="s">
        <v>33</v>
      </c>
      <c r="G194" s="32" t="s">
        <v>43</v>
      </c>
      <c r="H194" s="65" t="s">
        <v>192</v>
      </c>
      <c r="I194" s="65">
        <v>1</v>
      </c>
      <c r="J194" s="65" t="s">
        <v>56</v>
      </c>
      <c r="K194" s="65">
        <v>0</v>
      </c>
      <c r="L194" s="57">
        <v>69846.12</v>
      </c>
      <c r="M194" s="58">
        <v>36</v>
      </c>
      <c r="N194" s="57">
        <v>2</v>
      </c>
      <c r="O194" s="66">
        <v>139692.24</v>
      </c>
      <c r="P194" s="56">
        <f>IFERROR((L194-Q194)/L194,0)</f>
        <v>1</v>
      </c>
      <c r="Q194" s="1">
        <f t="shared" si="62"/>
        <v>0</v>
      </c>
      <c r="R194" s="1">
        <f t="shared" si="57"/>
        <v>0</v>
      </c>
      <c r="S194" s="60">
        <v>0.40000103083750299</v>
      </c>
      <c r="T194" s="60">
        <v>0.66666953010909702</v>
      </c>
      <c r="U194" s="1">
        <f t="shared" si="63"/>
        <v>0</v>
      </c>
      <c r="V194" s="1">
        <f t="shared" si="58"/>
        <v>0</v>
      </c>
      <c r="W194" s="56">
        <f>IFERROR((L194-X194)/L194,0)</f>
        <v>1</v>
      </c>
      <c r="X194" s="3">
        <v>0</v>
      </c>
      <c r="Y194" s="1">
        <f t="shared" si="64"/>
        <v>0</v>
      </c>
      <c r="Z194" s="65" t="s">
        <v>111</v>
      </c>
      <c r="AA194" s="65" t="s">
        <v>61</v>
      </c>
      <c r="AB194" s="65" t="s">
        <v>410</v>
      </c>
    </row>
    <row r="195" spans="1:28" ht="28.8" x14ac:dyDescent="0.3">
      <c r="A195" s="65"/>
      <c r="B195" s="41" t="s">
        <v>63</v>
      </c>
      <c r="C195" s="29" t="s">
        <v>18</v>
      </c>
      <c r="D195" s="65" t="s">
        <v>110</v>
      </c>
      <c r="E195" s="65" t="s">
        <v>387</v>
      </c>
      <c r="F195" s="65" t="s">
        <v>33</v>
      </c>
      <c r="G195" s="32" t="s">
        <v>43</v>
      </c>
      <c r="H195" s="65" t="s">
        <v>192</v>
      </c>
      <c r="I195" s="65">
        <v>1</v>
      </c>
      <c r="J195" s="65" t="s">
        <v>56</v>
      </c>
      <c r="K195" s="65">
        <v>-60851.25</v>
      </c>
      <c r="L195" s="57">
        <v>69846.12</v>
      </c>
      <c r="M195" s="58">
        <v>36</v>
      </c>
      <c r="N195" s="57">
        <v>2</v>
      </c>
      <c r="O195" s="66">
        <v>139692.24</v>
      </c>
      <c r="P195" s="56">
        <f>IFERROR((L195-Q195)/L195,0)</f>
        <v>1.5227303964772847</v>
      </c>
      <c r="Q195" s="1">
        <f t="shared" si="62"/>
        <v>-36510.69</v>
      </c>
      <c r="R195" s="1">
        <f t="shared" si="57"/>
        <v>-73021.38</v>
      </c>
      <c r="S195" s="60">
        <v>0.40000103083750299</v>
      </c>
      <c r="T195" s="60">
        <v>0.66666953010909702</v>
      </c>
      <c r="U195" s="1">
        <f t="shared" si="63"/>
        <v>-24340.559999999998</v>
      </c>
      <c r="V195" s="1">
        <f t="shared" si="58"/>
        <v>-48681.120000000003</v>
      </c>
      <c r="W195" s="56">
        <f>IFERROR((L195-X195)/L195,0)</f>
        <v>1.8712187591808966</v>
      </c>
      <c r="X195" s="3">
        <v>-60851.25</v>
      </c>
      <c r="Y195" s="1">
        <f t="shared" si="64"/>
        <v>-121702.5</v>
      </c>
      <c r="Z195" s="65" t="s">
        <v>111</v>
      </c>
      <c r="AA195" s="65" t="s">
        <v>61</v>
      </c>
      <c r="AB195" s="65" t="s">
        <v>411</v>
      </c>
    </row>
    <row r="196" spans="1:28" ht="28.8" x14ac:dyDescent="0.3">
      <c r="A196" s="65"/>
      <c r="B196" s="41" t="s">
        <v>63</v>
      </c>
      <c r="C196" s="29" t="s">
        <v>18</v>
      </c>
      <c r="D196" s="65" t="s">
        <v>110</v>
      </c>
      <c r="E196" s="65" t="s">
        <v>387</v>
      </c>
      <c r="F196" s="65" t="s">
        <v>33</v>
      </c>
      <c r="G196" s="32" t="s">
        <v>43</v>
      </c>
      <c r="H196" s="65" t="s">
        <v>192</v>
      </c>
      <c r="I196" s="65">
        <v>1</v>
      </c>
      <c r="J196" s="65" t="s">
        <v>56</v>
      </c>
      <c r="K196" s="66">
        <v>139692.24</v>
      </c>
      <c r="L196" s="57">
        <v>69846.12</v>
      </c>
      <c r="M196" s="58">
        <v>36</v>
      </c>
      <c r="N196" s="57">
        <v>2</v>
      </c>
      <c r="O196" s="66">
        <v>139692.24</v>
      </c>
      <c r="P196" s="56">
        <f>IFERROR((L196-Q196)/L196,0)</f>
        <v>-0.19999793832499219</v>
      </c>
      <c r="Q196" s="1">
        <f t="shared" si="62"/>
        <v>83815.199999999997</v>
      </c>
      <c r="R196" s="1">
        <f t="shared" si="57"/>
        <v>167630.39999999999</v>
      </c>
      <c r="S196" s="60">
        <v>0.40000103083750299</v>
      </c>
      <c r="T196" s="60">
        <v>0.66666953010909702</v>
      </c>
      <c r="U196" s="1">
        <f t="shared" si="63"/>
        <v>55877.039999999994</v>
      </c>
      <c r="V196" s="1">
        <f t="shared" si="58"/>
        <v>111754.08</v>
      </c>
      <c r="W196" s="56">
        <f>IFERROR((L196-X196)/L196,0)</f>
        <v>-1</v>
      </c>
      <c r="X196" s="3">
        <v>139692.24</v>
      </c>
      <c r="Y196" s="1">
        <f t="shared" si="64"/>
        <v>279384.48</v>
      </c>
      <c r="Z196" s="65" t="s">
        <v>111</v>
      </c>
      <c r="AA196" s="65" t="s">
        <v>61</v>
      </c>
      <c r="AB196" s="65" t="s">
        <v>412</v>
      </c>
    </row>
    <row r="197" spans="1:28" ht="28.8" x14ac:dyDescent="0.3">
      <c r="A197" s="65" t="s">
        <v>413</v>
      </c>
      <c r="B197" s="41" t="s">
        <v>63</v>
      </c>
      <c r="C197" s="29" t="s">
        <v>18</v>
      </c>
      <c r="D197" t="s">
        <v>130</v>
      </c>
      <c r="E197" s="65" t="s">
        <v>387</v>
      </c>
      <c r="F197" s="65" t="s">
        <v>33</v>
      </c>
      <c r="G197" s="32" t="s">
        <v>43</v>
      </c>
      <c r="H197" s="65" t="s">
        <v>133</v>
      </c>
      <c r="I197">
        <v>1</v>
      </c>
      <c r="J197" t="s">
        <v>51</v>
      </c>
      <c r="K197">
        <v>34.824896000000003</v>
      </c>
      <c r="L197" s="1">
        <v>70</v>
      </c>
      <c r="M197" s="1">
        <v>36</v>
      </c>
      <c r="N197" s="1">
        <v>72</v>
      </c>
      <c r="O197" s="1">
        <v>181440</v>
      </c>
      <c r="P197" s="56">
        <f>IFERROR((M197*L197-Q197)/(M197*L197),0)</f>
        <v>0.34824999999999995</v>
      </c>
      <c r="Q197" s="1">
        <f>IFERROR(ROUND(X197*(1-S197), 2), 0)</f>
        <v>1642.41</v>
      </c>
      <c r="R197" s="1">
        <f t="shared" si="57"/>
        <v>118253.52</v>
      </c>
      <c r="S197" s="64">
        <v>0.34824896</v>
      </c>
      <c r="T197" s="56">
        <f>IFERROR((X197-Q197)/Q197,0)</f>
        <v>0.53433064825469878</v>
      </c>
      <c r="U197" s="1">
        <f t="shared" si="63"/>
        <v>877.58999999999992</v>
      </c>
      <c r="V197" s="1">
        <f>ROUND(U197*N197, 2)</f>
        <v>63186.48</v>
      </c>
      <c r="W197" s="55">
        <v>0</v>
      </c>
      <c r="X197" s="1">
        <v>2520</v>
      </c>
      <c r="Y197" s="1">
        <v>181440</v>
      </c>
      <c r="Z197" t="s">
        <v>131</v>
      </c>
      <c r="AA197" s="65" t="s">
        <v>134</v>
      </c>
      <c r="AB197" s="65" t="s">
        <v>414</v>
      </c>
    </row>
    <row r="198" spans="1:28" ht="28.8" x14ac:dyDescent="0.3">
      <c r="A198" s="65"/>
      <c r="B198" s="41" t="s">
        <v>63</v>
      </c>
      <c r="C198" s="29" t="s">
        <v>18</v>
      </c>
      <c r="D198" t="s">
        <v>130</v>
      </c>
      <c r="E198" s="65" t="s">
        <v>387</v>
      </c>
      <c r="F198" s="65" t="s">
        <v>33</v>
      </c>
      <c r="G198" s="32" t="s">
        <v>43</v>
      </c>
      <c r="H198" s="65" t="s">
        <v>133</v>
      </c>
      <c r="I198">
        <v>1</v>
      </c>
      <c r="J198" t="s">
        <v>51</v>
      </c>
      <c r="K198">
        <v>0</v>
      </c>
      <c r="L198" s="1">
        <v>70</v>
      </c>
      <c r="M198" s="1">
        <v>36</v>
      </c>
      <c r="N198" s="1">
        <v>72</v>
      </c>
      <c r="O198" s="1">
        <v>181440</v>
      </c>
      <c r="P198" s="56">
        <f>IFERROR((M198*L198-Q198)/(M198*L198),0)</f>
        <v>0</v>
      </c>
      <c r="Q198" s="1">
        <f>IFERROR(ROUND(X198*(1-S198), 2), 0)</f>
        <v>2520</v>
      </c>
      <c r="R198" s="1">
        <f t="shared" si="57"/>
        <v>181440</v>
      </c>
      <c r="S198" s="64">
        <v>0</v>
      </c>
      <c r="T198" s="56">
        <f>IFERROR((X198-Q198)/Q198,0)</f>
        <v>0</v>
      </c>
      <c r="U198" s="1">
        <f t="shared" si="63"/>
        <v>0</v>
      </c>
      <c r="V198" s="1">
        <f>ROUND(U198*N198, 2)</f>
        <v>0</v>
      </c>
      <c r="W198" s="55">
        <v>0</v>
      </c>
      <c r="X198" s="1">
        <v>2520</v>
      </c>
      <c r="Y198" s="1">
        <v>181440</v>
      </c>
      <c r="Z198" t="s">
        <v>131</v>
      </c>
      <c r="AA198" s="65" t="s">
        <v>134</v>
      </c>
      <c r="AB198" s="65" t="s">
        <v>415</v>
      </c>
    </row>
    <row r="199" spans="1:28" ht="28.8" x14ac:dyDescent="0.3">
      <c r="A199" s="65"/>
      <c r="B199" s="41" t="s">
        <v>63</v>
      </c>
      <c r="C199" s="29" t="s">
        <v>18</v>
      </c>
      <c r="D199" t="s">
        <v>130</v>
      </c>
      <c r="E199" s="65" t="s">
        <v>387</v>
      </c>
      <c r="F199" s="65" t="s">
        <v>33</v>
      </c>
      <c r="G199" s="32" t="s">
        <v>43</v>
      </c>
      <c r="H199" s="65" t="s">
        <v>133</v>
      </c>
      <c r="I199">
        <v>1</v>
      </c>
      <c r="J199" t="s">
        <v>51</v>
      </c>
      <c r="K199">
        <v>-34.824896000000003</v>
      </c>
      <c r="L199" s="1">
        <v>70</v>
      </c>
      <c r="M199" s="1">
        <v>36</v>
      </c>
      <c r="N199" s="1">
        <v>72</v>
      </c>
      <c r="O199" s="1">
        <v>181440</v>
      </c>
      <c r="P199" s="56">
        <f>IFERROR((M199*L199-Q199)/(M199*L199),0)</f>
        <v>-0.34825000000000006</v>
      </c>
      <c r="Q199" s="1">
        <f>IFERROR(ROUND(X199*(1-S199), 2), 0)</f>
        <v>3397.59</v>
      </c>
      <c r="R199" s="1">
        <f t="shared" si="57"/>
        <v>244626.48</v>
      </c>
      <c r="S199" s="64">
        <v>-0.34824896</v>
      </c>
      <c r="T199" s="56">
        <f>IFERROR((X199-Q199)/Q199,0)</f>
        <v>-0.25829779343593551</v>
      </c>
      <c r="U199" s="1">
        <f t="shared" si="63"/>
        <v>-877.59000000000015</v>
      </c>
      <c r="V199" s="1">
        <f>ROUND(U199*N199, 2)</f>
        <v>-63186.48</v>
      </c>
      <c r="W199" s="55">
        <v>0</v>
      </c>
      <c r="X199" s="1">
        <v>2520</v>
      </c>
      <c r="Y199" s="1">
        <v>181440</v>
      </c>
      <c r="Z199" t="s">
        <v>131</v>
      </c>
      <c r="AA199" s="65" t="s">
        <v>134</v>
      </c>
      <c r="AB199" s="65" t="s">
        <v>416</v>
      </c>
    </row>
    <row r="200" spans="1:28" ht="28.8" x14ac:dyDescent="0.3">
      <c r="A200" s="65"/>
      <c r="B200" s="41" t="s">
        <v>63</v>
      </c>
      <c r="C200" s="29" t="s">
        <v>18</v>
      </c>
      <c r="D200" t="s">
        <v>130</v>
      </c>
      <c r="E200" s="65" t="s">
        <v>387</v>
      </c>
      <c r="F200" s="65" t="s">
        <v>33</v>
      </c>
      <c r="G200" s="32" t="s">
        <v>43</v>
      </c>
      <c r="H200" s="65" t="s">
        <v>133</v>
      </c>
      <c r="I200">
        <v>1</v>
      </c>
      <c r="J200" t="s">
        <v>51</v>
      </c>
      <c r="K200">
        <v>200</v>
      </c>
      <c r="L200" s="1">
        <v>70</v>
      </c>
      <c r="M200" s="1">
        <v>36</v>
      </c>
      <c r="N200" s="1">
        <v>72</v>
      </c>
      <c r="O200" s="1">
        <v>181440</v>
      </c>
      <c r="P200" s="56">
        <f>IFERROR((M200*L200-Q200)/(M200*L200),0)</f>
        <v>2</v>
      </c>
      <c r="Q200" s="1">
        <f>IFERROR(ROUND(X200*(1-S200), 2), 0)</f>
        <v>-2520</v>
      </c>
      <c r="R200" s="1">
        <f t="shared" si="57"/>
        <v>-181440</v>
      </c>
      <c r="S200" s="64">
        <v>2</v>
      </c>
      <c r="T200" s="56">
        <f>IFERROR((X200-Q200)/Q200,0)</f>
        <v>-2</v>
      </c>
      <c r="U200" s="1">
        <f t="shared" si="63"/>
        <v>5040</v>
      </c>
      <c r="V200" s="1">
        <f>ROUND(U200*N200, 2)</f>
        <v>362880</v>
      </c>
      <c r="W200" s="55">
        <v>0</v>
      </c>
      <c r="X200" s="1">
        <v>2520</v>
      </c>
      <c r="Y200" s="1">
        <v>181440</v>
      </c>
      <c r="Z200" t="s">
        <v>131</v>
      </c>
      <c r="AA200" s="65" t="s">
        <v>134</v>
      </c>
      <c r="AB200" s="65" t="s">
        <v>417</v>
      </c>
    </row>
    <row r="201" spans="1:28" ht="28.8" x14ac:dyDescent="0.3">
      <c r="A201" s="65"/>
      <c r="B201" s="41" t="s">
        <v>63</v>
      </c>
      <c r="C201" s="29" t="s">
        <v>18</v>
      </c>
      <c r="D201" t="s">
        <v>130</v>
      </c>
      <c r="E201" s="65" t="s">
        <v>387</v>
      </c>
      <c r="F201" s="65" t="s">
        <v>33</v>
      </c>
      <c r="G201" s="32" t="s">
        <v>43</v>
      </c>
      <c r="H201" s="65" t="s">
        <v>133</v>
      </c>
      <c r="I201">
        <v>1</v>
      </c>
      <c r="J201" t="s">
        <v>51</v>
      </c>
      <c r="K201">
        <v>100</v>
      </c>
      <c r="L201" s="1">
        <v>70</v>
      </c>
      <c r="M201" s="1">
        <v>36</v>
      </c>
      <c r="N201" s="1">
        <v>72</v>
      </c>
      <c r="O201" s="1">
        <v>181440</v>
      </c>
      <c r="P201" s="56">
        <f>IFERROR((M201*L201-Q201)/(M201*L201),0)</f>
        <v>1</v>
      </c>
      <c r="Q201" s="1">
        <f>IFERROR(ROUND(X201*(1-S201), 2), 0)</f>
        <v>0</v>
      </c>
      <c r="R201" s="1">
        <f t="shared" si="57"/>
        <v>0</v>
      </c>
      <c r="S201" s="64">
        <v>1</v>
      </c>
      <c r="T201" s="56">
        <f>IFERROR((X201-Q201)/Q201,0)</f>
        <v>0</v>
      </c>
      <c r="U201" s="1">
        <f t="shared" si="63"/>
        <v>2520</v>
      </c>
      <c r="V201" s="1">
        <f>ROUND(U201*N201, 2)</f>
        <v>181440</v>
      </c>
      <c r="W201" s="55">
        <v>0</v>
      </c>
      <c r="X201" s="1">
        <v>2520</v>
      </c>
      <c r="Y201" s="1">
        <v>181440</v>
      </c>
      <c r="Z201" t="s">
        <v>131</v>
      </c>
      <c r="AA201" s="65" t="s">
        <v>134</v>
      </c>
      <c r="AB201" s="65" t="s">
        <v>418</v>
      </c>
    </row>
    <row r="202" spans="1:28" ht="28.8" x14ac:dyDescent="0.3">
      <c r="A202" s="65" t="s">
        <v>419</v>
      </c>
      <c r="B202" s="41" t="s">
        <v>63</v>
      </c>
      <c r="C202" s="29" t="s">
        <v>18</v>
      </c>
      <c r="D202" s="65" t="s">
        <v>110</v>
      </c>
      <c r="E202" s="65" t="s">
        <v>387</v>
      </c>
      <c r="F202" s="65" t="s">
        <v>33</v>
      </c>
      <c r="G202" s="32" t="s">
        <v>43</v>
      </c>
      <c r="H202" s="65" t="s">
        <v>192</v>
      </c>
      <c r="I202" s="65">
        <v>1</v>
      </c>
      <c r="J202" t="s">
        <v>39</v>
      </c>
      <c r="K202" s="65">
        <v>56.879853099999998</v>
      </c>
      <c r="L202" s="57">
        <v>69846.12</v>
      </c>
      <c r="M202" s="58">
        <v>36</v>
      </c>
      <c r="N202" s="57">
        <v>2</v>
      </c>
      <c r="O202" s="66">
        <v>139692.24</v>
      </c>
      <c r="P202" s="62">
        <v>0.568798531</v>
      </c>
      <c r="Q202" s="1">
        <f>IFERROR(ROUND(L202*(1-P202), 2), 0)</f>
        <v>30117.75</v>
      </c>
      <c r="R202" s="1">
        <f t="shared" si="57"/>
        <v>60235.5</v>
      </c>
      <c r="S202" s="60">
        <v>0.40000103083750299</v>
      </c>
      <c r="T202" s="60">
        <v>0.66666953010909702</v>
      </c>
      <c r="U202" s="1">
        <f t="shared" si="63"/>
        <v>20078.589999999997</v>
      </c>
      <c r="V202" s="1">
        <f t="shared" ref="V202:V228" si="65">ROUND(U202*N202, 2)</f>
        <v>40157.18</v>
      </c>
      <c r="W202" s="56">
        <f>IFERROR((L202-X202)/L202,0)</f>
        <v>0.28132958566631905</v>
      </c>
      <c r="X202" s="1">
        <f t="shared" ref="X202:X206" si="66">IFERROR(ROUND(Q202*(1+T202), 2), 0)</f>
        <v>50196.34</v>
      </c>
      <c r="Y202" s="1">
        <f>IFERROR(ROUND(X202*N202, 2), 0)</f>
        <v>100392.68</v>
      </c>
      <c r="Z202" s="65" t="s">
        <v>111</v>
      </c>
      <c r="AA202" s="65" t="s">
        <v>61</v>
      </c>
      <c r="AB202" s="65" t="s">
        <v>420</v>
      </c>
    </row>
    <row r="203" spans="1:28" ht="28.8" x14ac:dyDescent="0.3">
      <c r="A203" s="65"/>
      <c r="B203" s="41" t="s">
        <v>63</v>
      </c>
      <c r="C203" s="29" t="s">
        <v>18</v>
      </c>
      <c r="D203" s="65" t="s">
        <v>110</v>
      </c>
      <c r="E203" s="65" t="s">
        <v>387</v>
      </c>
      <c r="F203" s="65" t="s">
        <v>33</v>
      </c>
      <c r="G203" s="32" t="s">
        <v>43</v>
      </c>
      <c r="H203" s="65" t="s">
        <v>192</v>
      </c>
      <c r="I203" s="65">
        <v>1</v>
      </c>
      <c r="J203" t="s">
        <v>39</v>
      </c>
      <c r="K203" s="65">
        <v>0</v>
      </c>
      <c r="L203" s="57">
        <v>69846.12</v>
      </c>
      <c r="M203" s="58">
        <v>36</v>
      </c>
      <c r="N203" s="57">
        <v>2</v>
      </c>
      <c r="O203" s="66">
        <v>139692.24</v>
      </c>
      <c r="P203" s="62">
        <v>0</v>
      </c>
      <c r="Q203" s="1">
        <f>IFERROR(ROUND(L203*(1-P203), 2), 0)</f>
        <v>69846.12</v>
      </c>
      <c r="R203" s="1">
        <f t="shared" si="57"/>
        <v>139692.24</v>
      </c>
      <c r="S203" s="60">
        <v>0.40000103083750299</v>
      </c>
      <c r="T203" s="60">
        <v>0.66666953010909702</v>
      </c>
      <c r="U203" s="1">
        <f t="shared" si="63"/>
        <v>46564.28</v>
      </c>
      <c r="V203" s="1">
        <f t="shared" si="65"/>
        <v>93128.56</v>
      </c>
      <c r="W203" s="56">
        <f>IFERROR((L203-X203)/L203,0)</f>
        <v>-0.66666953010417762</v>
      </c>
      <c r="X203" s="1">
        <f t="shared" si="66"/>
        <v>116410.4</v>
      </c>
      <c r="Y203" s="1">
        <f>IFERROR(ROUND(X203*N203, 2), 0)</f>
        <v>232820.8</v>
      </c>
      <c r="Z203" s="65" t="s">
        <v>111</v>
      </c>
      <c r="AA203" s="65" t="s">
        <v>61</v>
      </c>
      <c r="AB203" s="65" t="s">
        <v>421</v>
      </c>
    </row>
    <row r="204" spans="1:28" ht="28.8" x14ac:dyDescent="0.3">
      <c r="A204" s="65"/>
      <c r="B204" s="41" t="s">
        <v>63</v>
      </c>
      <c r="C204" s="29" t="s">
        <v>18</v>
      </c>
      <c r="D204" s="65" t="s">
        <v>110</v>
      </c>
      <c r="E204" s="65" t="s">
        <v>387</v>
      </c>
      <c r="F204" s="65" t="s">
        <v>33</v>
      </c>
      <c r="G204" s="32" t="s">
        <v>43</v>
      </c>
      <c r="H204" s="65" t="s">
        <v>192</v>
      </c>
      <c r="I204" s="65">
        <v>1</v>
      </c>
      <c r="J204" t="s">
        <v>39</v>
      </c>
      <c r="K204" s="65">
        <v>-56.879853099999998</v>
      </c>
      <c r="L204" s="57">
        <v>69846.12</v>
      </c>
      <c r="M204" s="58">
        <v>36</v>
      </c>
      <c r="N204" s="57">
        <v>2</v>
      </c>
      <c r="O204" s="66">
        <v>139692.24</v>
      </c>
      <c r="P204" s="62">
        <v>-0.568798531</v>
      </c>
      <c r="Q204" s="1">
        <f>IFERROR(ROUND(L204*(1-P204), 2), 0)</f>
        <v>109574.49</v>
      </c>
      <c r="R204" s="1">
        <f t="shared" si="57"/>
        <v>219148.98</v>
      </c>
      <c r="S204" s="60">
        <v>0.40000103083750299</v>
      </c>
      <c r="T204" s="60">
        <v>0.66666953010909702</v>
      </c>
      <c r="U204" s="1">
        <f t="shared" si="63"/>
        <v>73049.969999999987</v>
      </c>
      <c r="V204" s="1">
        <f t="shared" si="65"/>
        <v>146099.94</v>
      </c>
      <c r="W204" s="56">
        <f>IFERROR((L204-X204)/L204,0)</f>
        <v>-1.6146686458746742</v>
      </c>
      <c r="X204" s="1">
        <f t="shared" si="66"/>
        <v>182624.46</v>
      </c>
      <c r="Y204" s="1">
        <f>IFERROR(ROUND(X204*N204, 2), 0)</f>
        <v>365248.92</v>
      </c>
      <c r="Z204" s="65" t="s">
        <v>111</v>
      </c>
      <c r="AA204" s="65" t="s">
        <v>61</v>
      </c>
      <c r="AB204" s="65" t="s">
        <v>422</v>
      </c>
    </row>
    <row r="205" spans="1:28" ht="28.8" x14ac:dyDescent="0.3">
      <c r="A205" s="65"/>
      <c r="B205" s="41" t="s">
        <v>63</v>
      </c>
      <c r="C205" s="29" t="s">
        <v>18</v>
      </c>
      <c r="D205" s="65" t="s">
        <v>110</v>
      </c>
      <c r="E205" s="65" t="s">
        <v>387</v>
      </c>
      <c r="F205" s="65" t="s">
        <v>33</v>
      </c>
      <c r="G205" s="32" t="s">
        <v>43</v>
      </c>
      <c r="H205" s="65" t="s">
        <v>192</v>
      </c>
      <c r="I205" s="65">
        <v>1</v>
      </c>
      <c r="J205" t="s">
        <v>39</v>
      </c>
      <c r="K205" s="65">
        <v>200</v>
      </c>
      <c r="L205" s="57">
        <v>69846.12</v>
      </c>
      <c r="M205" s="58">
        <v>36</v>
      </c>
      <c r="N205" s="57">
        <v>2</v>
      </c>
      <c r="O205" s="66">
        <v>139692.24</v>
      </c>
      <c r="P205" s="62">
        <v>2</v>
      </c>
      <c r="Q205" s="1">
        <f>IFERROR(ROUND(L205*(1-P205), 2), 0)</f>
        <v>-69846.12</v>
      </c>
      <c r="R205" s="1">
        <f t="shared" si="57"/>
        <v>-139692.24</v>
      </c>
      <c r="S205" s="60">
        <v>0.40000103083750299</v>
      </c>
      <c r="T205" s="60">
        <v>0.66666953010909702</v>
      </c>
      <c r="U205" s="1">
        <f t="shared" si="63"/>
        <v>-46564.28</v>
      </c>
      <c r="V205" s="1">
        <f t="shared" si="65"/>
        <v>-93128.56</v>
      </c>
      <c r="W205" s="56">
        <f>IFERROR((L205-X205)/L205,0)</f>
        <v>2.6666695301041776</v>
      </c>
      <c r="X205" s="1">
        <f t="shared" si="66"/>
        <v>-116410.4</v>
      </c>
      <c r="Y205" s="1">
        <f>IFERROR(ROUND(X205*N205, 2), 0)</f>
        <v>-232820.8</v>
      </c>
      <c r="Z205" s="65" t="s">
        <v>111</v>
      </c>
      <c r="AA205" s="65" t="s">
        <v>61</v>
      </c>
      <c r="AB205" s="65" t="s">
        <v>423</v>
      </c>
    </row>
    <row r="206" spans="1:28" ht="28.8" x14ac:dyDescent="0.3">
      <c r="A206" s="65"/>
      <c r="B206" s="41" t="s">
        <v>63</v>
      </c>
      <c r="C206" s="29" t="s">
        <v>18</v>
      </c>
      <c r="D206" s="65" t="s">
        <v>110</v>
      </c>
      <c r="E206" s="65" t="s">
        <v>387</v>
      </c>
      <c r="F206" s="65" t="s">
        <v>33</v>
      </c>
      <c r="G206" s="32" t="s">
        <v>43</v>
      </c>
      <c r="H206" s="65" t="s">
        <v>192</v>
      </c>
      <c r="I206" s="65">
        <v>1</v>
      </c>
      <c r="J206" t="s">
        <v>39</v>
      </c>
      <c r="K206" s="65">
        <v>100</v>
      </c>
      <c r="L206" s="57">
        <v>69846.12</v>
      </c>
      <c r="M206" s="58">
        <v>36</v>
      </c>
      <c r="N206" s="57">
        <v>2</v>
      </c>
      <c r="O206" s="66">
        <v>139692.24</v>
      </c>
      <c r="P206" s="62">
        <v>1</v>
      </c>
      <c r="Q206" s="1">
        <f>IFERROR(ROUND(L206*(1-P206), 2), 0)</f>
        <v>0</v>
      </c>
      <c r="R206" s="1">
        <f t="shared" si="57"/>
        <v>0</v>
      </c>
      <c r="S206" s="60">
        <v>0.40000103083750299</v>
      </c>
      <c r="T206" s="60">
        <v>0.66666953010909702</v>
      </c>
      <c r="U206" s="1">
        <f t="shared" si="63"/>
        <v>0</v>
      </c>
      <c r="V206" s="1">
        <f t="shared" si="65"/>
        <v>0</v>
      </c>
      <c r="W206" s="56">
        <f>IFERROR((L206-X206)/L206,0)</f>
        <v>1</v>
      </c>
      <c r="X206" s="1">
        <f t="shared" si="66"/>
        <v>0</v>
      </c>
      <c r="Y206" s="1">
        <f>IFERROR(ROUND(X206*N206, 2), 0)</f>
        <v>0</v>
      </c>
      <c r="Z206" s="65" t="s">
        <v>111</v>
      </c>
      <c r="AA206" s="65" t="s">
        <v>61</v>
      </c>
      <c r="AB206" s="65" t="s">
        <v>424</v>
      </c>
    </row>
    <row r="207" spans="1:28" ht="28.8" x14ac:dyDescent="0.3">
      <c r="A207" s="65" t="s">
        <v>425</v>
      </c>
      <c r="B207" s="41" t="s">
        <v>63</v>
      </c>
      <c r="C207" s="29" t="s">
        <v>18</v>
      </c>
      <c r="D207" s="65" t="s">
        <v>110</v>
      </c>
      <c r="E207" s="65" t="s">
        <v>427</v>
      </c>
      <c r="F207" s="65" t="s">
        <v>33</v>
      </c>
      <c r="G207" s="32" t="s">
        <v>43</v>
      </c>
      <c r="H207" s="65" t="s">
        <v>114</v>
      </c>
      <c r="I207">
        <v>1</v>
      </c>
      <c r="J207" s="65" t="s">
        <v>49</v>
      </c>
      <c r="K207">
        <v>10959.84</v>
      </c>
      <c r="L207" s="1">
        <v>12213.63</v>
      </c>
      <c r="M207" s="1"/>
      <c r="N207" s="1">
        <v>2</v>
      </c>
      <c r="O207" s="1">
        <v>24427.26</v>
      </c>
      <c r="P207" s="56">
        <f>IFERROR((L207-Q207)/L207,0)</f>
        <v>0.10265498463601723</v>
      </c>
      <c r="Q207" s="2">
        <v>10959.84</v>
      </c>
      <c r="R207" s="1">
        <f t="shared" si="57"/>
        <v>21919.68</v>
      </c>
      <c r="S207" s="56">
        <f t="shared" ref="S207:S219" si="67">IFERROR((X207-Q207)/X207,0)</f>
        <v>0.10265498463601723</v>
      </c>
      <c r="T207" s="56">
        <f>IFERROR((X207-Q207)/Q207,0)</f>
        <v>0.11439856786230447</v>
      </c>
      <c r="U207" s="1">
        <f t="shared" si="63"/>
        <v>1253.7899999999991</v>
      </c>
      <c r="V207" s="1">
        <f t="shared" si="65"/>
        <v>2507.58</v>
      </c>
      <c r="W207" s="55">
        <v>0</v>
      </c>
      <c r="X207" s="1">
        <v>12213.63</v>
      </c>
      <c r="Y207" s="1">
        <v>24427.26</v>
      </c>
      <c r="Z207" s="65" t="s">
        <v>111</v>
      </c>
      <c r="AA207" s="65" t="s">
        <v>115</v>
      </c>
      <c r="AB207" s="65" t="s">
        <v>426</v>
      </c>
    </row>
    <row r="208" spans="1:28" ht="28.8" x14ac:dyDescent="0.3">
      <c r="A208" s="65"/>
      <c r="B208" s="41" t="s">
        <v>63</v>
      </c>
      <c r="C208" s="29" t="s">
        <v>18</v>
      </c>
      <c r="D208" s="65" t="s">
        <v>110</v>
      </c>
      <c r="E208" s="65" t="s">
        <v>427</v>
      </c>
      <c r="F208" s="65" t="s">
        <v>33</v>
      </c>
      <c r="G208" s="32" t="s">
        <v>43</v>
      </c>
      <c r="H208" s="65" t="s">
        <v>114</v>
      </c>
      <c r="I208">
        <v>1</v>
      </c>
      <c r="J208" s="65" t="s">
        <v>49</v>
      </c>
      <c r="K208">
        <v>0</v>
      </c>
      <c r="L208" s="1">
        <v>12213.63</v>
      </c>
      <c r="M208" s="1"/>
      <c r="N208" s="1">
        <v>2</v>
      </c>
      <c r="O208" s="1">
        <v>24427.26</v>
      </c>
      <c r="P208" s="56">
        <f>IFERROR((L208-Q208)/L208,0)</f>
        <v>1</v>
      </c>
      <c r="Q208" s="2">
        <v>0</v>
      </c>
      <c r="R208" s="1">
        <f t="shared" si="57"/>
        <v>0</v>
      </c>
      <c r="S208" s="56">
        <f t="shared" si="67"/>
        <v>1</v>
      </c>
      <c r="T208" s="56">
        <f>IFERROR((X208-Q208)/Q208,0)</f>
        <v>0</v>
      </c>
      <c r="U208" s="1">
        <f t="shared" si="63"/>
        <v>12213.63</v>
      </c>
      <c r="V208" s="1">
        <f t="shared" si="65"/>
        <v>24427.26</v>
      </c>
      <c r="W208" s="55">
        <v>0</v>
      </c>
      <c r="X208" s="1">
        <v>12213.63</v>
      </c>
      <c r="Y208" s="1">
        <v>24427.26</v>
      </c>
      <c r="Z208" s="65" t="s">
        <v>111</v>
      </c>
      <c r="AA208" s="65" t="s">
        <v>115</v>
      </c>
      <c r="AB208" s="65" t="s">
        <v>428</v>
      </c>
    </row>
    <row r="209" spans="1:28" ht="28.8" x14ac:dyDescent="0.3">
      <c r="A209" s="65"/>
      <c r="B209" s="41" t="s">
        <v>63</v>
      </c>
      <c r="C209" s="29" t="s">
        <v>18</v>
      </c>
      <c r="D209" s="65" t="s">
        <v>110</v>
      </c>
      <c r="E209" s="65" t="s">
        <v>427</v>
      </c>
      <c r="F209" s="65" t="s">
        <v>33</v>
      </c>
      <c r="G209" s="32" t="s">
        <v>43</v>
      </c>
      <c r="H209" s="65" t="s">
        <v>114</v>
      </c>
      <c r="I209">
        <v>1</v>
      </c>
      <c r="J209" s="65" t="s">
        <v>49</v>
      </c>
      <c r="K209">
        <v>-10959.84</v>
      </c>
      <c r="L209" s="1">
        <v>12213.63</v>
      </c>
      <c r="M209" s="1"/>
      <c r="N209" s="1">
        <v>2</v>
      </c>
      <c r="O209" s="1">
        <v>24427.26</v>
      </c>
      <c r="P209" s="56">
        <f>IFERROR((L209-Q209)/L209,0)</f>
        <v>1.8973450153639828</v>
      </c>
      <c r="Q209" s="2">
        <v>-10959.84</v>
      </c>
      <c r="R209" s="1">
        <f t="shared" si="57"/>
        <v>-21919.68</v>
      </c>
      <c r="S209" s="56">
        <f t="shared" si="67"/>
        <v>1.8973450153639828</v>
      </c>
      <c r="T209" s="56">
        <f>IFERROR((X209-Q209)/Q209,0)</f>
        <v>-2.1143985678623047</v>
      </c>
      <c r="U209" s="1">
        <f t="shared" si="63"/>
        <v>23173.47</v>
      </c>
      <c r="V209" s="1">
        <f t="shared" si="65"/>
        <v>46346.94</v>
      </c>
      <c r="W209" s="55">
        <v>0</v>
      </c>
      <c r="X209" s="1">
        <v>12213.63</v>
      </c>
      <c r="Y209" s="1">
        <v>24427.26</v>
      </c>
      <c r="Z209" s="65" t="s">
        <v>111</v>
      </c>
      <c r="AA209" s="65" t="s">
        <v>115</v>
      </c>
      <c r="AB209" s="65" t="s">
        <v>429</v>
      </c>
    </row>
    <row r="210" spans="1:28" ht="28.8" x14ac:dyDescent="0.3">
      <c r="A210" s="65"/>
      <c r="B210" s="41" t="s">
        <v>63</v>
      </c>
      <c r="C210" s="29" t="s">
        <v>18</v>
      </c>
      <c r="D210" s="65" t="s">
        <v>110</v>
      </c>
      <c r="E210" s="65" t="s">
        <v>427</v>
      </c>
      <c r="F210" s="65" t="s">
        <v>33</v>
      </c>
      <c r="G210" s="32" t="s">
        <v>43</v>
      </c>
      <c r="H210" s="65" t="s">
        <v>114</v>
      </c>
      <c r="I210">
        <v>1</v>
      </c>
      <c r="J210" s="65" t="s">
        <v>49</v>
      </c>
      <c r="K210" s="1">
        <v>24427.26</v>
      </c>
      <c r="L210" s="1">
        <v>12213.63</v>
      </c>
      <c r="M210" s="1"/>
      <c r="N210" s="1">
        <v>2</v>
      </c>
      <c r="O210" s="1">
        <v>24427.26</v>
      </c>
      <c r="P210" s="56">
        <f>IFERROR((L210-Q210)/L210,0)</f>
        <v>-1</v>
      </c>
      <c r="Q210" s="2">
        <v>24427.26</v>
      </c>
      <c r="R210" s="1">
        <f t="shared" si="57"/>
        <v>48854.52</v>
      </c>
      <c r="S210" s="56">
        <f t="shared" si="67"/>
        <v>-1</v>
      </c>
      <c r="T210" s="56">
        <f>IFERROR((X210-Q210)/Q210,0)</f>
        <v>-0.5</v>
      </c>
      <c r="U210" s="1">
        <f t="shared" si="63"/>
        <v>-12213.63</v>
      </c>
      <c r="V210" s="1">
        <f t="shared" si="65"/>
        <v>-24427.26</v>
      </c>
      <c r="W210" s="55">
        <v>0</v>
      </c>
      <c r="X210" s="1">
        <v>12213.63</v>
      </c>
      <c r="Y210" s="1">
        <v>24427.26</v>
      </c>
      <c r="Z210" s="65" t="s">
        <v>111</v>
      </c>
      <c r="AA210" s="65" t="s">
        <v>115</v>
      </c>
      <c r="AB210" s="65" t="s">
        <v>430</v>
      </c>
    </row>
    <row r="211" spans="1:28" ht="28.8" x14ac:dyDescent="0.3">
      <c r="A211" s="65" t="s">
        <v>431</v>
      </c>
      <c r="B211" s="41" t="s">
        <v>63</v>
      </c>
      <c r="C211" s="29" t="s">
        <v>18</v>
      </c>
      <c r="D211" s="65" t="s">
        <v>110</v>
      </c>
      <c r="E211" s="65" t="s">
        <v>427</v>
      </c>
      <c r="F211" s="65" t="s">
        <v>33</v>
      </c>
      <c r="G211" s="32" t="s">
        <v>43</v>
      </c>
      <c r="H211" s="65" t="s">
        <v>114</v>
      </c>
      <c r="I211">
        <v>1</v>
      </c>
      <c r="J211" s="65" t="s">
        <v>52</v>
      </c>
      <c r="K211">
        <v>5.7364889999999997</v>
      </c>
      <c r="L211" s="1">
        <v>12213.63</v>
      </c>
      <c r="M211" s="1"/>
      <c r="N211" s="1">
        <v>2</v>
      </c>
      <c r="O211" s="1">
        <v>24427.26</v>
      </c>
      <c r="P211" s="55">
        <v>0.01</v>
      </c>
      <c r="Q211" s="1">
        <v>12091.49</v>
      </c>
      <c r="R211" s="1">
        <v>24182.99</v>
      </c>
      <c r="S211" s="56">
        <f t="shared" si="67"/>
        <v>5.4252912761084834E-2</v>
      </c>
      <c r="T211" s="64">
        <v>5.7364890000000002E-2</v>
      </c>
      <c r="U211" s="1">
        <f t="shared" si="63"/>
        <v>693.63000000000102</v>
      </c>
      <c r="V211" s="1">
        <f t="shared" si="65"/>
        <v>1387.26</v>
      </c>
      <c r="W211" s="56">
        <f t="shared" ref="W211:W219" si="68">IFERROR((L211-X211)/(L211),0)</f>
        <v>-4.6791166917615944E-2</v>
      </c>
      <c r="X211" s="1">
        <f t="shared" ref="X211:X215" si="69">IFERROR(ROUND(Q211*(1+T211), 2), 0)</f>
        <v>12785.12</v>
      </c>
      <c r="Y211" s="1">
        <f t="shared" ref="Y211:Y233" si="70">IFERROR(ROUND(X211*N211, 2), 0)</f>
        <v>25570.240000000002</v>
      </c>
      <c r="Z211" s="65" t="s">
        <v>111</v>
      </c>
      <c r="AA211" s="65" t="s">
        <v>115</v>
      </c>
      <c r="AB211" s="65" t="s">
        <v>432</v>
      </c>
    </row>
    <row r="212" spans="1:28" ht="28.8" x14ac:dyDescent="0.3">
      <c r="A212" s="65"/>
      <c r="B212" s="41" t="s">
        <v>63</v>
      </c>
      <c r="C212" s="29" t="s">
        <v>18</v>
      </c>
      <c r="D212" s="65" t="s">
        <v>110</v>
      </c>
      <c r="E212" s="65" t="s">
        <v>427</v>
      </c>
      <c r="F212" s="65" t="s">
        <v>33</v>
      </c>
      <c r="G212" s="32" t="s">
        <v>43</v>
      </c>
      <c r="H212" s="65" t="s">
        <v>114</v>
      </c>
      <c r="I212">
        <v>1</v>
      </c>
      <c r="J212" s="65" t="s">
        <v>52</v>
      </c>
      <c r="K212">
        <v>0</v>
      </c>
      <c r="L212" s="1">
        <v>12213.63</v>
      </c>
      <c r="M212" s="1"/>
      <c r="N212" s="1">
        <v>2</v>
      </c>
      <c r="O212" s="1">
        <v>24427.26</v>
      </c>
      <c r="P212" s="55">
        <v>0.01</v>
      </c>
      <c r="Q212" s="1">
        <v>12091.49</v>
      </c>
      <c r="R212" s="1">
        <v>24182.99</v>
      </c>
      <c r="S212" s="56">
        <f t="shared" si="67"/>
        <v>0</v>
      </c>
      <c r="T212" s="64">
        <v>0</v>
      </c>
      <c r="U212" s="1">
        <f t="shared" si="63"/>
        <v>0</v>
      </c>
      <c r="V212" s="1">
        <f t="shared" si="65"/>
        <v>0</v>
      </c>
      <c r="W212" s="56">
        <f t="shared" si="68"/>
        <v>1.0000302940239668E-2</v>
      </c>
      <c r="X212" s="1">
        <f t="shared" si="69"/>
        <v>12091.49</v>
      </c>
      <c r="Y212" s="1">
        <f t="shared" si="70"/>
        <v>24182.98</v>
      </c>
      <c r="Z212" s="65" t="s">
        <v>111</v>
      </c>
      <c r="AA212" s="65" t="s">
        <v>115</v>
      </c>
      <c r="AB212" s="65" t="s">
        <v>433</v>
      </c>
    </row>
    <row r="213" spans="1:28" ht="28.8" x14ac:dyDescent="0.3">
      <c r="A213" s="65"/>
      <c r="B213" s="41" t="s">
        <v>63</v>
      </c>
      <c r="C213" s="29" t="s">
        <v>18</v>
      </c>
      <c r="D213" s="65" t="s">
        <v>110</v>
      </c>
      <c r="E213" s="65" t="s">
        <v>427</v>
      </c>
      <c r="F213" s="65" t="s">
        <v>33</v>
      </c>
      <c r="G213" s="32" t="s">
        <v>43</v>
      </c>
      <c r="H213" s="65" t="s">
        <v>114</v>
      </c>
      <c r="I213">
        <v>1</v>
      </c>
      <c r="J213" s="65" t="s">
        <v>52</v>
      </c>
      <c r="K213">
        <v>-5.7364889999999997</v>
      </c>
      <c r="L213" s="1">
        <v>12213.63</v>
      </c>
      <c r="M213" s="1"/>
      <c r="N213" s="1">
        <v>2</v>
      </c>
      <c r="O213" s="1">
        <v>24427.26</v>
      </c>
      <c r="P213" s="55">
        <v>0.01</v>
      </c>
      <c r="Q213" s="1">
        <v>12091.49</v>
      </c>
      <c r="R213" s="1">
        <v>24182.99</v>
      </c>
      <c r="S213" s="56">
        <f t="shared" si="67"/>
        <v>-6.0856160717889074E-2</v>
      </c>
      <c r="T213" s="64">
        <v>-5.7364890000000002E-2</v>
      </c>
      <c r="U213" s="1">
        <f t="shared" si="63"/>
        <v>-693.6299999999992</v>
      </c>
      <c r="V213" s="1">
        <f t="shared" si="65"/>
        <v>-1387.26</v>
      </c>
      <c r="W213" s="56">
        <f t="shared" si="68"/>
        <v>6.6791772798095131E-2</v>
      </c>
      <c r="X213" s="1">
        <f t="shared" si="69"/>
        <v>11397.86</v>
      </c>
      <c r="Y213" s="1">
        <f t="shared" si="70"/>
        <v>22795.72</v>
      </c>
      <c r="Z213" s="65" t="s">
        <v>111</v>
      </c>
      <c r="AA213" s="65" t="s">
        <v>115</v>
      </c>
      <c r="AB213" s="65" t="s">
        <v>434</v>
      </c>
    </row>
    <row r="214" spans="1:28" ht="28.8" x14ac:dyDescent="0.3">
      <c r="A214" s="65"/>
      <c r="B214" s="41" t="s">
        <v>63</v>
      </c>
      <c r="C214" s="29" t="s">
        <v>18</v>
      </c>
      <c r="D214" s="65" t="s">
        <v>110</v>
      </c>
      <c r="E214" s="65" t="s">
        <v>427</v>
      </c>
      <c r="F214" s="65" t="s">
        <v>33</v>
      </c>
      <c r="G214" s="32" t="s">
        <v>43</v>
      </c>
      <c r="H214" s="65" t="s">
        <v>114</v>
      </c>
      <c r="I214">
        <v>1</v>
      </c>
      <c r="J214" s="65" t="s">
        <v>52</v>
      </c>
      <c r="K214">
        <v>200</v>
      </c>
      <c r="L214" s="1">
        <v>12213.63</v>
      </c>
      <c r="M214" s="1"/>
      <c r="N214" s="1">
        <v>2</v>
      </c>
      <c r="O214" s="1">
        <v>24427.26</v>
      </c>
      <c r="P214" s="55">
        <v>0.01</v>
      </c>
      <c r="Q214" s="1">
        <v>12091.49</v>
      </c>
      <c r="R214" s="1">
        <v>24182.99</v>
      </c>
      <c r="S214" s="56">
        <f t="shared" si="67"/>
        <v>0.66666666666666674</v>
      </c>
      <c r="T214" s="64">
        <v>2</v>
      </c>
      <c r="U214" s="1">
        <f t="shared" si="63"/>
        <v>24182.980000000003</v>
      </c>
      <c r="V214" s="1">
        <f t="shared" si="65"/>
        <v>48365.96</v>
      </c>
      <c r="W214" s="56">
        <f t="shared" si="68"/>
        <v>-1.9699990911792813</v>
      </c>
      <c r="X214" s="1">
        <f t="shared" si="69"/>
        <v>36274.47</v>
      </c>
      <c r="Y214" s="1">
        <f t="shared" si="70"/>
        <v>72548.94</v>
      </c>
      <c r="Z214" s="65" t="s">
        <v>111</v>
      </c>
      <c r="AA214" s="65" t="s">
        <v>115</v>
      </c>
      <c r="AB214" s="65" t="s">
        <v>435</v>
      </c>
    </row>
    <row r="215" spans="1:28" ht="28.8" x14ac:dyDescent="0.3">
      <c r="A215" s="65"/>
      <c r="B215" s="41" t="s">
        <v>63</v>
      </c>
      <c r="C215" s="29" t="s">
        <v>18</v>
      </c>
      <c r="D215" s="65" t="s">
        <v>110</v>
      </c>
      <c r="E215" s="65" t="s">
        <v>427</v>
      </c>
      <c r="F215" s="65" t="s">
        <v>33</v>
      </c>
      <c r="G215" s="32" t="s">
        <v>43</v>
      </c>
      <c r="H215" s="65" t="s">
        <v>114</v>
      </c>
      <c r="I215">
        <v>1</v>
      </c>
      <c r="J215" s="65" t="s">
        <v>52</v>
      </c>
      <c r="K215">
        <v>100</v>
      </c>
      <c r="L215" s="1">
        <v>12213.63</v>
      </c>
      <c r="M215" s="1"/>
      <c r="N215" s="1">
        <v>2</v>
      </c>
      <c r="O215" s="1">
        <v>24427.26</v>
      </c>
      <c r="P215" s="55">
        <v>0.01</v>
      </c>
      <c r="Q215" s="1">
        <v>12091.49</v>
      </c>
      <c r="R215" s="1">
        <v>24182.99</v>
      </c>
      <c r="S215" s="56">
        <f t="shared" si="67"/>
        <v>0.5</v>
      </c>
      <c r="T215" s="64">
        <v>1</v>
      </c>
      <c r="U215" s="1">
        <f t="shared" si="63"/>
        <v>12091.49</v>
      </c>
      <c r="V215" s="1">
        <f t="shared" si="65"/>
        <v>24182.98</v>
      </c>
      <c r="W215" s="56">
        <f t="shared" si="68"/>
        <v>-0.97999939411952064</v>
      </c>
      <c r="X215" s="1">
        <f t="shared" si="69"/>
        <v>24182.98</v>
      </c>
      <c r="Y215" s="1">
        <f t="shared" si="70"/>
        <v>48365.96</v>
      </c>
      <c r="Z215" s="65" t="s">
        <v>111</v>
      </c>
      <c r="AA215" s="65" t="s">
        <v>115</v>
      </c>
      <c r="AB215" s="65" t="s">
        <v>436</v>
      </c>
    </row>
    <row r="216" spans="1:28" ht="28.8" x14ac:dyDescent="0.3">
      <c r="A216" s="65" t="s">
        <v>437</v>
      </c>
      <c r="B216" s="41" t="s">
        <v>63</v>
      </c>
      <c r="C216" s="29" t="s">
        <v>18</v>
      </c>
      <c r="D216" s="65" t="s">
        <v>235</v>
      </c>
      <c r="E216" s="65" t="s">
        <v>427</v>
      </c>
      <c r="F216" s="65" t="s">
        <v>33</v>
      </c>
      <c r="G216" s="32" t="s">
        <v>43</v>
      </c>
      <c r="H216" s="65" t="s">
        <v>238</v>
      </c>
      <c r="I216">
        <v>1</v>
      </c>
      <c r="J216" s="65" t="s">
        <v>53</v>
      </c>
      <c r="K216" s="65">
        <v>16575.96</v>
      </c>
      <c r="L216" s="66">
        <v>189270</v>
      </c>
      <c r="M216" s="66"/>
      <c r="N216" s="66">
        <v>2</v>
      </c>
      <c r="O216" s="66">
        <v>378540</v>
      </c>
      <c r="P216" s="55">
        <v>0.31999999999999901</v>
      </c>
      <c r="Q216" s="1">
        <v>128703.6</v>
      </c>
      <c r="R216" s="1">
        <v>257407.2</v>
      </c>
      <c r="S216" s="56">
        <f t="shared" si="67"/>
        <v>0.11409698652721685</v>
      </c>
      <c r="T216" s="56">
        <f>IFERROR((X216-Q216)/Q216,0)</f>
        <v>0.12879173542931194</v>
      </c>
      <c r="U216" s="2">
        <v>16575.96</v>
      </c>
      <c r="V216" s="1">
        <f t="shared" si="65"/>
        <v>33151.919999999998</v>
      </c>
      <c r="W216" s="56">
        <f t="shared" si="68"/>
        <v>0.23242161990806784</v>
      </c>
      <c r="X216" s="61">
        <f t="shared" ref="X216:X219" si="71">IFERROR(ROUND(Q216+U216,2),0)</f>
        <v>145279.56</v>
      </c>
      <c r="Y216" s="1">
        <f t="shared" si="70"/>
        <v>290559.12</v>
      </c>
      <c r="Z216" s="65" t="s">
        <v>236</v>
      </c>
      <c r="AA216" s="65" t="s">
        <v>239</v>
      </c>
      <c r="AB216" s="65" t="s">
        <v>438</v>
      </c>
    </row>
    <row r="217" spans="1:28" ht="28.8" x14ac:dyDescent="0.3">
      <c r="A217" s="65"/>
      <c r="B217" s="41" t="s">
        <v>63</v>
      </c>
      <c r="C217" s="29" t="s">
        <v>18</v>
      </c>
      <c r="D217" s="65" t="s">
        <v>235</v>
      </c>
      <c r="E217" s="65" t="s">
        <v>427</v>
      </c>
      <c r="F217" s="65" t="s">
        <v>33</v>
      </c>
      <c r="G217" s="32" t="s">
        <v>43</v>
      </c>
      <c r="H217" s="65" t="s">
        <v>238</v>
      </c>
      <c r="I217">
        <v>1</v>
      </c>
      <c r="J217" s="65" t="s">
        <v>53</v>
      </c>
      <c r="K217" s="65">
        <v>0</v>
      </c>
      <c r="L217" s="66">
        <v>189270</v>
      </c>
      <c r="M217" s="66"/>
      <c r="N217" s="66">
        <v>2</v>
      </c>
      <c r="O217" s="66">
        <v>378540</v>
      </c>
      <c r="P217" s="55">
        <v>0.31999999999999901</v>
      </c>
      <c r="Q217" s="1">
        <v>128703.6</v>
      </c>
      <c r="R217" s="1">
        <v>257407.2</v>
      </c>
      <c r="S217" s="56">
        <f t="shared" si="67"/>
        <v>0</v>
      </c>
      <c r="T217" s="56">
        <f>IFERROR((X217-Q217)/Q217,0)</f>
        <v>0</v>
      </c>
      <c r="U217" s="2">
        <v>0</v>
      </c>
      <c r="V217" s="1">
        <f t="shared" si="65"/>
        <v>0</v>
      </c>
      <c r="W217" s="56">
        <f t="shared" si="68"/>
        <v>0.31999999999999995</v>
      </c>
      <c r="X217" s="61">
        <f t="shared" si="71"/>
        <v>128703.6</v>
      </c>
      <c r="Y217" s="1">
        <f t="shared" si="70"/>
        <v>257407.2</v>
      </c>
      <c r="Z217" s="65" t="s">
        <v>236</v>
      </c>
      <c r="AA217" s="65" t="s">
        <v>239</v>
      </c>
      <c r="AB217" s="65" t="s">
        <v>439</v>
      </c>
    </row>
    <row r="218" spans="1:28" ht="28.8" x14ac:dyDescent="0.3">
      <c r="A218" s="65"/>
      <c r="B218" s="41" t="s">
        <v>63</v>
      </c>
      <c r="C218" s="29" t="s">
        <v>18</v>
      </c>
      <c r="D218" s="65" t="s">
        <v>235</v>
      </c>
      <c r="E218" s="65" t="s">
        <v>427</v>
      </c>
      <c r="F218" s="65" t="s">
        <v>33</v>
      </c>
      <c r="G218" s="32" t="s">
        <v>43</v>
      </c>
      <c r="H218" s="65" t="s">
        <v>238</v>
      </c>
      <c r="I218">
        <v>1</v>
      </c>
      <c r="J218" s="65" t="s">
        <v>53</v>
      </c>
      <c r="K218" s="65">
        <v>-16575.96</v>
      </c>
      <c r="L218" s="66">
        <v>189270</v>
      </c>
      <c r="M218" s="66"/>
      <c r="N218" s="66">
        <v>2</v>
      </c>
      <c r="O218" s="66">
        <v>378540</v>
      </c>
      <c r="P218" s="55">
        <v>0.31999999999999901</v>
      </c>
      <c r="Q218" s="1">
        <v>128703.6</v>
      </c>
      <c r="R218" s="1">
        <v>257407.2</v>
      </c>
      <c r="S218" s="56">
        <f t="shared" si="67"/>
        <v>-0.14783116812232922</v>
      </c>
      <c r="T218" s="56">
        <f>IFERROR((X218-Q218)/Q218,0)</f>
        <v>-0.12879173542931205</v>
      </c>
      <c r="U218" s="2">
        <v>-16575.96</v>
      </c>
      <c r="V218" s="1">
        <f t="shared" si="65"/>
        <v>-33151.919999999998</v>
      </c>
      <c r="W218" s="56">
        <f t="shared" si="68"/>
        <v>0.40757838009193215</v>
      </c>
      <c r="X218" s="61">
        <f t="shared" si="71"/>
        <v>112127.64</v>
      </c>
      <c r="Y218" s="1">
        <f t="shared" si="70"/>
        <v>224255.28</v>
      </c>
      <c r="Z218" s="65" t="s">
        <v>236</v>
      </c>
      <c r="AA218" s="65" t="s">
        <v>239</v>
      </c>
      <c r="AB218" s="65" t="s">
        <v>440</v>
      </c>
    </row>
    <row r="219" spans="1:28" ht="28.8" x14ac:dyDescent="0.3">
      <c r="A219" s="65"/>
      <c r="B219" s="41" t="s">
        <v>63</v>
      </c>
      <c r="C219" s="29" t="s">
        <v>18</v>
      </c>
      <c r="D219" s="65" t="s">
        <v>235</v>
      </c>
      <c r="E219" s="65" t="s">
        <v>427</v>
      </c>
      <c r="F219" s="65" t="s">
        <v>33</v>
      </c>
      <c r="G219" s="32" t="s">
        <v>43</v>
      </c>
      <c r="H219" s="65" t="s">
        <v>238</v>
      </c>
      <c r="I219">
        <v>1</v>
      </c>
      <c r="J219" s="65" t="s">
        <v>53</v>
      </c>
      <c r="K219" s="66">
        <v>378540</v>
      </c>
      <c r="L219" s="66">
        <v>189270</v>
      </c>
      <c r="M219" s="66"/>
      <c r="N219" s="66">
        <v>2</v>
      </c>
      <c r="O219" s="66">
        <v>378540</v>
      </c>
      <c r="P219" s="55">
        <v>0.31999999999999901</v>
      </c>
      <c r="Q219" s="1">
        <v>128703.6</v>
      </c>
      <c r="R219" s="1">
        <v>257407.2</v>
      </c>
      <c r="S219" s="56">
        <f t="shared" si="67"/>
        <v>0.74626865671641796</v>
      </c>
      <c r="T219" s="56">
        <f>IFERROR((X219-Q219)/Q219,0)</f>
        <v>2.9411764705882351</v>
      </c>
      <c r="U219" s="2">
        <v>378540</v>
      </c>
      <c r="V219" s="1">
        <f t="shared" si="65"/>
        <v>757080</v>
      </c>
      <c r="W219" s="56">
        <f t="shared" si="68"/>
        <v>-1.68</v>
      </c>
      <c r="X219" s="61">
        <f t="shared" si="71"/>
        <v>507243.6</v>
      </c>
      <c r="Y219" s="1">
        <f t="shared" si="70"/>
        <v>1014487.2</v>
      </c>
      <c r="Z219" s="65" t="s">
        <v>236</v>
      </c>
      <c r="AA219" s="65" t="s">
        <v>239</v>
      </c>
      <c r="AB219" s="65" t="s">
        <v>441</v>
      </c>
    </row>
    <row r="220" spans="1:28" ht="28.8" x14ac:dyDescent="0.3">
      <c r="A220" s="65" t="s">
        <v>442</v>
      </c>
      <c r="B220" s="41" t="s">
        <v>63</v>
      </c>
      <c r="C220" s="29" t="s">
        <v>18</v>
      </c>
      <c r="D220" t="s">
        <v>130</v>
      </c>
      <c r="E220" s="65" t="s">
        <v>427</v>
      </c>
      <c r="F220" s="65" t="s">
        <v>33</v>
      </c>
      <c r="G220" s="32" t="s">
        <v>43</v>
      </c>
      <c r="H220" s="65" t="s">
        <v>133</v>
      </c>
      <c r="I220">
        <v>1</v>
      </c>
      <c r="J220" t="s">
        <v>55</v>
      </c>
      <c r="K220">
        <v>36.89</v>
      </c>
      <c r="L220" s="1">
        <v>70</v>
      </c>
      <c r="M220" s="1">
        <v>36</v>
      </c>
      <c r="N220" s="1">
        <v>72</v>
      </c>
      <c r="O220" s="1">
        <v>181440</v>
      </c>
      <c r="P220" s="56">
        <f>IFERROR((M220*L220-Q220)/(M220*L220),0)</f>
        <v>0.74124999999999996</v>
      </c>
      <c r="Q220" s="1">
        <f t="shared" ref="Q220:Q228" si="72">IFERROR(ROUND(X220/(1+T220), 2), 0)</f>
        <v>652.04999999999995</v>
      </c>
      <c r="R220" s="1">
        <f t="shared" ref="R220:R228" si="73">IFERROR(ROUND(Q220*N220, 2), 0)</f>
        <v>46947.6</v>
      </c>
      <c r="S220" s="60">
        <v>0.59</v>
      </c>
      <c r="T220" s="60">
        <v>1.4390243902438999</v>
      </c>
      <c r="U220" s="1">
        <f t="shared" si="63"/>
        <v>938.31999999999994</v>
      </c>
      <c r="V220" s="1">
        <f t="shared" si="65"/>
        <v>67559.039999999994</v>
      </c>
      <c r="W220" s="62">
        <v>0.36890000000000001</v>
      </c>
      <c r="X220" s="1">
        <f>IFERROR(ROUND(M220*L220*(1-W220), 2), 0)</f>
        <v>1590.37</v>
      </c>
      <c r="Y220" s="1">
        <f t="shared" si="70"/>
        <v>114506.64</v>
      </c>
      <c r="Z220" t="s">
        <v>131</v>
      </c>
      <c r="AA220" s="65" t="s">
        <v>134</v>
      </c>
      <c r="AB220" s="65" t="s">
        <v>443</v>
      </c>
    </row>
    <row r="221" spans="1:28" ht="28.8" x14ac:dyDescent="0.3">
      <c r="A221" s="65"/>
      <c r="B221" s="41" t="s">
        <v>63</v>
      </c>
      <c r="C221" s="29" t="s">
        <v>18</v>
      </c>
      <c r="D221" t="s">
        <v>130</v>
      </c>
      <c r="E221" s="65" t="s">
        <v>427</v>
      </c>
      <c r="F221" s="65" t="s">
        <v>33</v>
      </c>
      <c r="G221" s="32" t="s">
        <v>43</v>
      </c>
      <c r="H221" s="65" t="s">
        <v>133</v>
      </c>
      <c r="I221">
        <v>1</v>
      </c>
      <c r="J221" t="s">
        <v>55</v>
      </c>
      <c r="K221">
        <v>0</v>
      </c>
      <c r="L221" s="1">
        <v>70</v>
      </c>
      <c r="M221" s="1">
        <v>36</v>
      </c>
      <c r="N221" s="1">
        <v>72</v>
      </c>
      <c r="O221" s="1">
        <v>181440</v>
      </c>
      <c r="P221" s="56">
        <f>IFERROR((M221*L221-Q221)/(M221*L221),0)</f>
        <v>0.59</v>
      </c>
      <c r="Q221" s="1">
        <f t="shared" si="72"/>
        <v>1033.2</v>
      </c>
      <c r="R221" s="1">
        <f t="shared" si="73"/>
        <v>74390.399999999994</v>
      </c>
      <c r="S221" s="60">
        <v>0.59</v>
      </c>
      <c r="T221" s="60">
        <v>1.4390243902438999</v>
      </c>
      <c r="U221" s="1">
        <f t="shared" si="63"/>
        <v>1486.8</v>
      </c>
      <c r="V221" s="1">
        <f t="shared" si="65"/>
        <v>107049.60000000001</v>
      </c>
      <c r="W221" s="62">
        <v>0</v>
      </c>
      <c r="X221" s="1">
        <f>IFERROR(ROUND(M221*L221*(1-W221), 2), 0)</f>
        <v>2520</v>
      </c>
      <c r="Y221" s="1">
        <f t="shared" si="70"/>
        <v>181440</v>
      </c>
      <c r="Z221" t="s">
        <v>131</v>
      </c>
      <c r="AA221" s="65" t="s">
        <v>134</v>
      </c>
      <c r="AB221" s="65" t="s">
        <v>444</v>
      </c>
    </row>
    <row r="222" spans="1:28" ht="28.8" x14ac:dyDescent="0.3">
      <c r="A222" s="65"/>
      <c r="B222" s="41" t="s">
        <v>63</v>
      </c>
      <c r="C222" s="29" t="s">
        <v>18</v>
      </c>
      <c r="D222" t="s">
        <v>130</v>
      </c>
      <c r="E222" s="65" t="s">
        <v>427</v>
      </c>
      <c r="F222" s="65" t="s">
        <v>33</v>
      </c>
      <c r="G222" s="32" t="s">
        <v>43</v>
      </c>
      <c r="H222" s="65" t="s">
        <v>133</v>
      </c>
      <c r="I222">
        <v>1</v>
      </c>
      <c r="J222" t="s">
        <v>55</v>
      </c>
      <c r="K222">
        <v>-36.89</v>
      </c>
      <c r="L222" s="1">
        <v>70</v>
      </c>
      <c r="M222" s="1">
        <v>36</v>
      </c>
      <c r="N222" s="1">
        <v>72</v>
      </c>
      <c r="O222" s="1">
        <v>181440</v>
      </c>
      <c r="P222" s="56">
        <f>IFERROR((M222*L222-Q222)/(M222*L222),0)</f>
        <v>0.43875000000000003</v>
      </c>
      <c r="Q222" s="1">
        <f t="shared" si="72"/>
        <v>1414.35</v>
      </c>
      <c r="R222" s="1">
        <f t="shared" si="73"/>
        <v>101833.2</v>
      </c>
      <c r="S222" s="60">
        <v>0.59</v>
      </c>
      <c r="T222" s="60">
        <v>1.4390243902438999</v>
      </c>
      <c r="U222" s="1">
        <f t="shared" si="63"/>
        <v>2035.2800000000002</v>
      </c>
      <c r="V222" s="1">
        <f t="shared" si="65"/>
        <v>146540.16</v>
      </c>
      <c r="W222" s="62">
        <v>-0.36890000000000001</v>
      </c>
      <c r="X222" s="1">
        <f>IFERROR(ROUND(M222*L222*(1-W222), 2), 0)</f>
        <v>3449.63</v>
      </c>
      <c r="Y222" s="1">
        <f t="shared" si="70"/>
        <v>248373.36</v>
      </c>
      <c r="Z222" t="s">
        <v>131</v>
      </c>
      <c r="AA222" s="65" t="s">
        <v>134</v>
      </c>
      <c r="AB222" s="65" t="s">
        <v>445</v>
      </c>
    </row>
    <row r="223" spans="1:28" ht="28.8" x14ac:dyDescent="0.3">
      <c r="A223" s="65"/>
      <c r="B223" s="41" t="s">
        <v>63</v>
      </c>
      <c r="C223" s="29" t="s">
        <v>18</v>
      </c>
      <c r="D223" t="s">
        <v>130</v>
      </c>
      <c r="E223" s="65" t="s">
        <v>427</v>
      </c>
      <c r="F223" s="65" t="s">
        <v>33</v>
      </c>
      <c r="G223" s="32" t="s">
        <v>43</v>
      </c>
      <c r="H223" s="65" t="s">
        <v>133</v>
      </c>
      <c r="I223">
        <v>1</v>
      </c>
      <c r="J223" t="s">
        <v>55</v>
      </c>
      <c r="K223">
        <v>200</v>
      </c>
      <c r="L223" s="1">
        <v>70</v>
      </c>
      <c r="M223" s="1">
        <v>36</v>
      </c>
      <c r="N223" s="1">
        <v>72</v>
      </c>
      <c r="O223" s="1">
        <v>181440</v>
      </c>
      <c r="P223" s="56">
        <f>IFERROR((M223*L223-Q223)/(M223*L223),0)</f>
        <v>1.41</v>
      </c>
      <c r="Q223" s="1">
        <f t="shared" si="72"/>
        <v>-1033.2</v>
      </c>
      <c r="R223" s="1">
        <f t="shared" si="73"/>
        <v>-74390.399999999994</v>
      </c>
      <c r="S223" s="60">
        <v>0.59</v>
      </c>
      <c r="T223" s="60">
        <v>1.4390243902438999</v>
      </c>
      <c r="U223" s="1">
        <f t="shared" si="63"/>
        <v>-1486.8</v>
      </c>
      <c r="V223" s="1">
        <f t="shared" si="65"/>
        <v>-107049.60000000001</v>
      </c>
      <c r="W223" s="62">
        <v>2</v>
      </c>
      <c r="X223" s="1">
        <f>IFERROR(ROUND(M223*L223*(1-W223), 2), 0)</f>
        <v>-2520</v>
      </c>
      <c r="Y223" s="1">
        <f t="shared" si="70"/>
        <v>-181440</v>
      </c>
      <c r="Z223" t="s">
        <v>131</v>
      </c>
      <c r="AA223" s="65" t="s">
        <v>134</v>
      </c>
      <c r="AB223" s="65" t="s">
        <v>446</v>
      </c>
    </row>
    <row r="224" spans="1:28" ht="28.8" x14ac:dyDescent="0.3">
      <c r="A224" s="65"/>
      <c r="B224" s="41" t="s">
        <v>63</v>
      </c>
      <c r="C224" s="29" t="s">
        <v>18</v>
      </c>
      <c r="D224" t="s">
        <v>130</v>
      </c>
      <c r="E224" s="65" t="s">
        <v>427</v>
      </c>
      <c r="F224" s="65" t="s">
        <v>33</v>
      </c>
      <c r="G224" s="32" t="s">
        <v>43</v>
      </c>
      <c r="H224" s="65" t="s">
        <v>133</v>
      </c>
      <c r="I224">
        <v>1</v>
      </c>
      <c r="J224" t="s">
        <v>55</v>
      </c>
      <c r="K224">
        <v>100</v>
      </c>
      <c r="L224" s="1">
        <v>70</v>
      </c>
      <c r="M224" s="1">
        <v>36</v>
      </c>
      <c r="N224" s="1">
        <v>72</v>
      </c>
      <c r="O224" s="1">
        <v>181440</v>
      </c>
      <c r="P224" s="56">
        <f>IFERROR((M224*L224-Q224)/(M224*L224),0)</f>
        <v>1</v>
      </c>
      <c r="Q224" s="1">
        <f t="shared" si="72"/>
        <v>0</v>
      </c>
      <c r="R224" s="1">
        <f t="shared" si="73"/>
        <v>0</v>
      </c>
      <c r="S224" s="60">
        <v>0.59</v>
      </c>
      <c r="T224" s="60">
        <v>1.4390243902438999</v>
      </c>
      <c r="U224" s="1">
        <f t="shared" si="63"/>
        <v>0</v>
      </c>
      <c r="V224" s="1">
        <f t="shared" si="65"/>
        <v>0</v>
      </c>
      <c r="W224" s="62">
        <v>1</v>
      </c>
      <c r="X224" s="1">
        <f>IFERROR(ROUND(M224*L224*(1-W224), 2), 0)</f>
        <v>0</v>
      </c>
      <c r="Y224" s="1">
        <f t="shared" si="70"/>
        <v>0</v>
      </c>
      <c r="Z224" t="s">
        <v>131</v>
      </c>
      <c r="AA224" s="65" t="s">
        <v>134</v>
      </c>
      <c r="AB224" s="65" t="s">
        <v>447</v>
      </c>
    </row>
    <row r="225" spans="1:28" ht="28.8" x14ac:dyDescent="0.3">
      <c r="A225" s="65" t="s">
        <v>448</v>
      </c>
      <c r="B225" s="41" t="s">
        <v>63</v>
      </c>
      <c r="C225" s="29" t="s">
        <v>18</v>
      </c>
      <c r="D225" s="65" t="s">
        <v>110</v>
      </c>
      <c r="E225" s="65" t="s">
        <v>427</v>
      </c>
      <c r="F225" s="65" t="s">
        <v>33</v>
      </c>
      <c r="G225" s="32" t="s">
        <v>43</v>
      </c>
      <c r="H225" s="65" t="s">
        <v>192</v>
      </c>
      <c r="I225" s="65">
        <v>1</v>
      </c>
      <c r="J225" s="65" t="s">
        <v>56</v>
      </c>
      <c r="K225" s="65">
        <v>60851.25</v>
      </c>
      <c r="L225" s="57">
        <v>69846.12</v>
      </c>
      <c r="M225" s="58">
        <v>36</v>
      </c>
      <c r="N225" s="57">
        <v>2</v>
      </c>
      <c r="O225" s="66">
        <v>139692.24</v>
      </c>
      <c r="P225" s="56">
        <f>IFERROR((L225-Q225)/L225,0)</f>
        <v>0.4772696035227153</v>
      </c>
      <c r="Q225" s="1">
        <f t="shared" si="72"/>
        <v>36510.69</v>
      </c>
      <c r="R225" s="1">
        <f t="shared" si="73"/>
        <v>73021.38</v>
      </c>
      <c r="S225" s="60">
        <v>0.40000103083750299</v>
      </c>
      <c r="T225" s="60">
        <v>0.66666953010909702</v>
      </c>
      <c r="U225" s="1">
        <f t="shared" si="63"/>
        <v>24340.559999999998</v>
      </c>
      <c r="V225" s="1">
        <f t="shared" si="65"/>
        <v>48681.120000000003</v>
      </c>
      <c r="W225" s="56">
        <f>IFERROR((L225-X225)/L225,0)</f>
        <v>0.12878124081910342</v>
      </c>
      <c r="X225" s="3">
        <v>60851.25</v>
      </c>
      <c r="Y225" s="1">
        <f t="shared" si="70"/>
        <v>121702.5</v>
      </c>
      <c r="Z225" s="65" t="s">
        <v>111</v>
      </c>
      <c r="AA225" s="65" t="s">
        <v>61</v>
      </c>
      <c r="AB225" s="65" t="s">
        <v>449</v>
      </c>
    </row>
    <row r="226" spans="1:28" ht="28.8" x14ac:dyDescent="0.3">
      <c r="A226" s="65"/>
      <c r="B226" s="41" t="s">
        <v>63</v>
      </c>
      <c r="C226" s="29" t="s">
        <v>18</v>
      </c>
      <c r="D226" s="65" t="s">
        <v>110</v>
      </c>
      <c r="E226" s="65" t="s">
        <v>427</v>
      </c>
      <c r="F226" s="65" t="s">
        <v>33</v>
      </c>
      <c r="G226" s="32" t="s">
        <v>43</v>
      </c>
      <c r="H226" s="65" t="s">
        <v>192</v>
      </c>
      <c r="I226" s="65">
        <v>1</v>
      </c>
      <c r="J226" s="65" t="s">
        <v>56</v>
      </c>
      <c r="K226" s="65">
        <v>0</v>
      </c>
      <c r="L226" s="57">
        <v>69846.12</v>
      </c>
      <c r="M226" s="58">
        <v>36</v>
      </c>
      <c r="N226" s="57">
        <v>2</v>
      </c>
      <c r="O226" s="66">
        <v>139692.24</v>
      </c>
      <c r="P226" s="56">
        <f>IFERROR((L226-Q226)/L226,0)</f>
        <v>1</v>
      </c>
      <c r="Q226" s="1">
        <f t="shared" si="72"/>
        <v>0</v>
      </c>
      <c r="R226" s="1">
        <f t="shared" si="73"/>
        <v>0</v>
      </c>
      <c r="S226" s="60">
        <v>0.40000103083750299</v>
      </c>
      <c r="T226" s="60">
        <v>0.66666953010909702</v>
      </c>
      <c r="U226" s="1">
        <f t="shared" si="63"/>
        <v>0</v>
      </c>
      <c r="V226" s="1">
        <f t="shared" si="65"/>
        <v>0</v>
      </c>
      <c r="W226" s="56">
        <f>IFERROR((L226-X226)/L226,0)</f>
        <v>1</v>
      </c>
      <c r="X226" s="3">
        <v>0</v>
      </c>
      <c r="Y226" s="1">
        <f t="shared" si="70"/>
        <v>0</v>
      </c>
      <c r="Z226" s="65" t="s">
        <v>111</v>
      </c>
      <c r="AA226" s="65" t="s">
        <v>61</v>
      </c>
      <c r="AB226" s="65" t="s">
        <v>450</v>
      </c>
    </row>
    <row r="227" spans="1:28" ht="28.8" x14ac:dyDescent="0.3">
      <c r="A227" s="65"/>
      <c r="B227" s="41" t="s">
        <v>63</v>
      </c>
      <c r="C227" s="29" t="s">
        <v>18</v>
      </c>
      <c r="D227" s="65" t="s">
        <v>110</v>
      </c>
      <c r="E227" s="65" t="s">
        <v>427</v>
      </c>
      <c r="F227" s="65" t="s">
        <v>33</v>
      </c>
      <c r="G227" s="32" t="s">
        <v>43</v>
      </c>
      <c r="H227" s="65" t="s">
        <v>192</v>
      </c>
      <c r="I227" s="65">
        <v>1</v>
      </c>
      <c r="J227" s="65" t="s">
        <v>56</v>
      </c>
      <c r="K227" s="65">
        <v>-60851.25</v>
      </c>
      <c r="L227" s="57">
        <v>69846.12</v>
      </c>
      <c r="M227" s="58">
        <v>36</v>
      </c>
      <c r="N227" s="57">
        <v>2</v>
      </c>
      <c r="O227" s="66">
        <v>139692.24</v>
      </c>
      <c r="P227" s="56">
        <f>IFERROR((L227-Q227)/L227,0)</f>
        <v>1.5227303964772847</v>
      </c>
      <c r="Q227" s="1">
        <f t="shared" si="72"/>
        <v>-36510.69</v>
      </c>
      <c r="R227" s="1">
        <f t="shared" si="73"/>
        <v>-73021.38</v>
      </c>
      <c r="S227" s="60">
        <v>0.40000103083750299</v>
      </c>
      <c r="T227" s="60">
        <v>0.66666953010909702</v>
      </c>
      <c r="U227" s="1">
        <f t="shared" si="63"/>
        <v>-24340.559999999998</v>
      </c>
      <c r="V227" s="1">
        <f t="shared" si="65"/>
        <v>-48681.120000000003</v>
      </c>
      <c r="W227" s="56">
        <f>IFERROR((L227-X227)/L227,0)</f>
        <v>1.8712187591808966</v>
      </c>
      <c r="X227" s="3">
        <v>-60851.25</v>
      </c>
      <c r="Y227" s="1">
        <f t="shared" si="70"/>
        <v>-121702.5</v>
      </c>
      <c r="Z227" s="65" t="s">
        <v>111</v>
      </c>
      <c r="AA227" s="65" t="s">
        <v>61</v>
      </c>
      <c r="AB227" s="65" t="s">
        <v>451</v>
      </c>
    </row>
    <row r="228" spans="1:28" ht="28.8" x14ac:dyDescent="0.3">
      <c r="A228" s="65"/>
      <c r="B228" s="41" t="s">
        <v>63</v>
      </c>
      <c r="C228" s="29" t="s">
        <v>18</v>
      </c>
      <c r="D228" s="65" t="s">
        <v>110</v>
      </c>
      <c r="E228" s="65" t="s">
        <v>427</v>
      </c>
      <c r="F228" s="65" t="s">
        <v>33</v>
      </c>
      <c r="G228" s="32" t="s">
        <v>43</v>
      </c>
      <c r="H228" s="65" t="s">
        <v>192</v>
      </c>
      <c r="I228" s="65">
        <v>1</v>
      </c>
      <c r="J228" s="65" t="s">
        <v>56</v>
      </c>
      <c r="K228" s="66">
        <v>139692.24</v>
      </c>
      <c r="L228" s="57">
        <v>69846.12</v>
      </c>
      <c r="M228" s="58">
        <v>36</v>
      </c>
      <c r="N228" s="57">
        <v>2</v>
      </c>
      <c r="O228" s="66">
        <v>139692.24</v>
      </c>
      <c r="P228" s="56">
        <f>IFERROR((L228-Q228)/L228,0)</f>
        <v>-0.19999793832499219</v>
      </c>
      <c r="Q228" s="1">
        <f t="shared" si="72"/>
        <v>83815.199999999997</v>
      </c>
      <c r="R228" s="1">
        <f t="shared" si="73"/>
        <v>167630.39999999999</v>
      </c>
      <c r="S228" s="60">
        <v>0.40000103083750299</v>
      </c>
      <c r="T228" s="60">
        <v>0.66666953010909702</v>
      </c>
      <c r="U228" s="1">
        <f t="shared" si="63"/>
        <v>55877.039999999994</v>
      </c>
      <c r="V228" s="1">
        <f t="shared" si="65"/>
        <v>111754.08</v>
      </c>
      <c r="W228" s="56">
        <f>IFERROR((L228-X228)/L228,0)</f>
        <v>-1</v>
      </c>
      <c r="X228" s="3">
        <v>139692.24</v>
      </c>
      <c r="Y228" s="1">
        <f t="shared" si="70"/>
        <v>279384.48</v>
      </c>
      <c r="Z228" s="65" t="s">
        <v>111</v>
      </c>
      <c r="AA228" s="65" t="s">
        <v>61</v>
      </c>
      <c r="AB228" s="65" t="s">
        <v>452</v>
      </c>
    </row>
    <row r="229" spans="1:28" ht="28.8" x14ac:dyDescent="0.3">
      <c r="A229" s="65" t="s">
        <v>453</v>
      </c>
      <c r="B229" s="41" t="s">
        <v>63</v>
      </c>
      <c r="C229" s="29" t="s">
        <v>18</v>
      </c>
      <c r="D229" t="s">
        <v>130</v>
      </c>
      <c r="E229" s="65" t="s">
        <v>427</v>
      </c>
      <c r="F229" s="65" t="s">
        <v>33</v>
      </c>
      <c r="G229" s="32" t="s">
        <v>43</v>
      </c>
      <c r="H229" s="65" t="s">
        <v>133</v>
      </c>
      <c r="I229">
        <v>1</v>
      </c>
      <c r="J229" t="s">
        <v>51</v>
      </c>
      <c r="K229">
        <v>34.824896000000003</v>
      </c>
      <c r="L229" s="1">
        <v>70</v>
      </c>
      <c r="M229" s="1">
        <v>36</v>
      </c>
      <c r="N229" s="1">
        <v>72</v>
      </c>
      <c r="O229" s="1">
        <v>181440</v>
      </c>
      <c r="P229" s="68">
        <v>0.59</v>
      </c>
      <c r="Q229" s="1">
        <v>1033.2</v>
      </c>
      <c r="R229" s="1">
        <v>74390.399999999994</v>
      </c>
      <c r="S229" s="64">
        <v>0.34824896</v>
      </c>
      <c r="T229" s="56">
        <f t="shared" ref="T229:T242" si="74">IFERROR((X229-Q229)/Q229,0)</f>
        <v>0.53433023615950437</v>
      </c>
      <c r="U229" s="1">
        <f t="shared" si="63"/>
        <v>552.06999999999994</v>
      </c>
      <c r="V229" s="1">
        <f>ROUND(U229*N229, 2)</f>
        <v>39749.040000000001</v>
      </c>
      <c r="W229" s="56">
        <f>IFERROR((M229*L229-X229)/(L229*M229),0)</f>
        <v>0.37092460317460318</v>
      </c>
      <c r="X229" s="1">
        <f>IFERROR(ROUND(Q229/(1-S229), 2), 0)</f>
        <v>1585.27</v>
      </c>
      <c r="Y229" s="1">
        <f t="shared" si="70"/>
        <v>114139.44</v>
      </c>
      <c r="Z229" t="s">
        <v>131</v>
      </c>
      <c r="AA229" s="65" t="s">
        <v>134</v>
      </c>
      <c r="AB229" s="65" t="s">
        <v>454</v>
      </c>
    </row>
    <row r="230" spans="1:28" ht="28.8" x14ac:dyDescent="0.3">
      <c r="A230" s="65"/>
      <c r="B230" s="41" t="s">
        <v>63</v>
      </c>
      <c r="C230" s="29" t="s">
        <v>18</v>
      </c>
      <c r="D230" t="s">
        <v>130</v>
      </c>
      <c r="E230" s="65" t="s">
        <v>427</v>
      </c>
      <c r="F230" s="65" t="s">
        <v>33</v>
      </c>
      <c r="G230" s="32" t="s">
        <v>43</v>
      </c>
      <c r="H230" s="65" t="s">
        <v>133</v>
      </c>
      <c r="I230">
        <v>1</v>
      </c>
      <c r="J230" t="s">
        <v>51</v>
      </c>
      <c r="K230">
        <v>0</v>
      </c>
      <c r="L230" s="1">
        <v>70</v>
      </c>
      <c r="M230" s="1">
        <v>36</v>
      </c>
      <c r="N230" s="1">
        <v>72</v>
      </c>
      <c r="O230" s="1">
        <v>181440</v>
      </c>
      <c r="P230" s="68">
        <v>0.59</v>
      </c>
      <c r="Q230" s="1">
        <v>1033.2</v>
      </c>
      <c r="R230" s="1">
        <v>74390.399999999994</v>
      </c>
      <c r="S230" s="64">
        <v>0</v>
      </c>
      <c r="T230" s="56">
        <f t="shared" si="74"/>
        <v>0</v>
      </c>
      <c r="U230" s="1">
        <f t="shared" si="63"/>
        <v>0</v>
      </c>
      <c r="V230" s="1">
        <f>ROUND(U230*N230, 2)</f>
        <v>0</v>
      </c>
      <c r="W230" s="56">
        <f>IFERROR((M230*L230-X230)/(L230*M230),0)</f>
        <v>0.59</v>
      </c>
      <c r="X230" s="1">
        <f>IFERROR(ROUND(Q230/(1-S230), 2), 0)</f>
        <v>1033.2</v>
      </c>
      <c r="Y230" s="1">
        <f t="shared" si="70"/>
        <v>74390.399999999994</v>
      </c>
      <c r="Z230" t="s">
        <v>131</v>
      </c>
      <c r="AA230" s="65" t="s">
        <v>134</v>
      </c>
      <c r="AB230" s="65" t="s">
        <v>455</v>
      </c>
    </row>
    <row r="231" spans="1:28" ht="28.8" x14ac:dyDescent="0.3">
      <c r="A231" s="65"/>
      <c r="B231" s="41" t="s">
        <v>63</v>
      </c>
      <c r="C231" s="29" t="s">
        <v>18</v>
      </c>
      <c r="D231" t="s">
        <v>130</v>
      </c>
      <c r="E231" s="65" t="s">
        <v>427</v>
      </c>
      <c r="F231" s="65" t="s">
        <v>33</v>
      </c>
      <c r="G231" s="32" t="s">
        <v>43</v>
      </c>
      <c r="H231" s="65" t="s">
        <v>133</v>
      </c>
      <c r="I231">
        <v>1</v>
      </c>
      <c r="J231" t="s">
        <v>51</v>
      </c>
      <c r="K231">
        <v>-34.824896000000003</v>
      </c>
      <c r="L231" s="1">
        <v>70</v>
      </c>
      <c r="M231" s="1">
        <v>36</v>
      </c>
      <c r="N231" s="1">
        <v>72</v>
      </c>
      <c r="O231" s="1">
        <v>181440</v>
      </c>
      <c r="P231" s="68">
        <v>0.59</v>
      </c>
      <c r="Q231" s="1">
        <v>1033.2</v>
      </c>
      <c r="R231" s="1">
        <v>74390.399999999994</v>
      </c>
      <c r="S231" s="64">
        <v>-0.34824896</v>
      </c>
      <c r="T231" s="56">
        <f t="shared" si="74"/>
        <v>-0.25829461866047232</v>
      </c>
      <c r="U231" s="1">
        <f t="shared" si="63"/>
        <v>-266.87</v>
      </c>
      <c r="V231" s="1">
        <f>ROUND(U231*N231, 2)</f>
        <v>-19214.64</v>
      </c>
      <c r="W231" s="56">
        <f>IFERROR((M231*L231-X231)/(L231*M231),0)</f>
        <v>0.69590079365079371</v>
      </c>
      <c r="X231" s="1">
        <f>IFERROR(ROUND(Q231/(1-S231), 2), 0)</f>
        <v>766.33</v>
      </c>
      <c r="Y231" s="1">
        <f t="shared" si="70"/>
        <v>55175.76</v>
      </c>
      <c r="Z231" t="s">
        <v>131</v>
      </c>
      <c r="AA231" s="65" t="s">
        <v>134</v>
      </c>
      <c r="AB231" s="65" t="s">
        <v>456</v>
      </c>
    </row>
    <row r="232" spans="1:28" ht="28.8" x14ac:dyDescent="0.3">
      <c r="A232" s="65"/>
      <c r="B232" s="41" t="s">
        <v>63</v>
      </c>
      <c r="C232" s="29" t="s">
        <v>18</v>
      </c>
      <c r="D232" t="s">
        <v>130</v>
      </c>
      <c r="E232" s="65" t="s">
        <v>427</v>
      </c>
      <c r="F232" s="65" t="s">
        <v>33</v>
      </c>
      <c r="G232" s="32" t="s">
        <v>43</v>
      </c>
      <c r="H232" s="65" t="s">
        <v>133</v>
      </c>
      <c r="I232">
        <v>1</v>
      </c>
      <c r="J232" t="s">
        <v>51</v>
      </c>
      <c r="K232">
        <v>200</v>
      </c>
      <c r="L232" s="1">
        <v>70</v>
      </c>
      <c r="M232" s="1">
        <v>36</v>
      </c>
      <c r="N232" s="1">
        <v>72</v>
      </c>
      <c r="O232" s="1">
        <v>181440</v>
      </c>
      <c r="P232" s="68">
        <v>0.59</v>
      </c>
      <c r="Q232" s="1">
        <v>1033.2</v>
      </c>
      <c r="R232" s="1">
        <v>74390.399999999994</v>
      </c>
      <c r="S232" s="64">
        <v>2</v>
      </c>
      <c r="T232" s="56">
        <f t="shared" si="74"/>
        <v>-2</v>
      </c>
      <c r="U232" s="1">
        <f t="shared" si="63"/>
        <v>-2066.4</v>
      </c>
      <c r="V232" s="1">
        <f>ROUND(U232*N232, 2)</f>
        <v>-148780.79999999999</v>
      </c>
      <c r="W232" s="56">
        <f>IFERROR((M232*L232-X232)/(L232*M232),0)</f>
        <v>1.41</v>
      </c>
      <c r="X232" s="1">
        <f>IFERROR(ROUND(Q232/(1-S232), 2), 0)</f>
        <v>-1033.2</v>
      </c>
      <c r="Y232" s="1">
        <f t="shared" si="70"/>
        <v>-74390.399999999994</v>
      </c>
      <c r="Z232" t="s">
        <v>131</v>
      </c>
      <c r="AA232" s="65" t="s">
        <v>134</v>
      </c>
      <c r="AB232" s="65" t="s">
        <v>457</v>
      </c>
    </row>
    <row r="233" spans="1:28" ht="28.8" x14ac:dyDescent="0.3">
      <c r="A233" s="65"/>
      <c r="B233" s="41" t="s">
        <v>63</v>
      </c>
      <c r="C233" s="29" t="s">
        <v>18</v>
      </c>
      <c r="D233" t="s">
        <v>130</v>
      </c>
      <c r="E233" s="65" t="s">
        <v>427</v>
      </c>
      <c r="F233" s="65" t="s">
        <v>33</v>
      </c>
      <c r="G233" s="32" t="s">
        <v>43</v>
      </c>
      <c r="H233" s="65" t="s">
        <v>133</v>
      </c>
      <c r="I233">
        <v>1</v>
      </c>
      <c r="J233" t="s">
        <v>51</v>
      </c>
      <c r="K233">
        <v>100</v>
      </c>
      <c r="L233" s="1">
        <v>70</v>
      </c>
      <c r="M233" s="1">
        <v>36</v>
      </c>
      <c r="N233" s="1">
        <v>72</v>
      </c>
      <c r="O233" s="1">
        <v>181440</v>
      </c>
      <c r="P233" s="68">
        <v>0.59</v>
      </c>
      <c r="Q233" s="1">
        <v>1033.2</v>
      </c>
      <c r="R233" s="1">
        <v>74390.399999999994</v>
      </c>
      <c r="S233" s="64">
        <v>1</v>
      </c>
      <c r="T233" s="56">
        <f t="shared" si="74"/>
        <v>-1</v>
      </c>
      <c r="U233" s="1">
        <f t="shared" si="63"/>
        <v>-1033.2</v>
      </c>
      <c r="V233" s="1">
        <f>ROUND(U233*N233, 2)</f>
        <v>-74390.399999999994</v>
      </c>
      <c r="W233" s="56">
        <f>IFERROR((M233*L233-X233)/(L233*M233),0)</f>
        <v>1</v>
      </c>
      <c r="X233" s="1">
        <f>IFERROR(ROUND(Q233/(1-S233), 2), 0)</f>
        <v>0</v>
      </c>
      <c r="Y233" s="1">
        <f t="shared" si="70"/>
        <v>0</v>
      </c>
      <c r="Z233" t="s">
        <v>131</v>
      </c>
      <c r="AA233" s="65" t="s">
        <v>134</v>
      </c>
      <c r="AB233" s="65" t="s">
        <v>458</v>
      </c>
    </row>
    <row r="234" spans="1:28" ht="28.8" x14ac:dyDescent="0.3">
      <c r="A234" s="65" t="s">
        <v>459</v>
      </c>
      <c r="B234" s="41" t="s">
        <v>63</v>
      </c>
      <c r="C234" s="29" t="s">
        <v>18</v>
      </c>
      <c r="D234" s="65" t="s">
        <v>110</v>
      </c>
      <c r="E234" s="65" t="s">
        <v>427</v>
      </c>
      <c r="F234" s="65" t="s">
        <v>33</v>
      </c>
      <c r="G234" s="32" t="s">
        <v>43</v>
      </c>
      <c r="H234" s="65" t="s">
        <v>192</v>
      </c>
      <c r="I234" s="65">
        <v>1</v>
      </c>
      <c r="J234" t="s">
        <v>39</v>
      </c>
      <c r="K234" s="65">
        <v>56.879853099999998</v>
      </c>
      <c r="L234" s="57">
        <v>69846.12</v>
      </c>
      <c r="M234" s="58">
        <v>36</v>
      </c>
      <c r="N234" s="57">
        <v>2</v>
      </c>
      <c r="O234" s="66">
        <v>139692.24</v>
      </c>
      <c r="P234" s="62">
        <v>0.568798531</v>
      </c>
      <c r="Q234" s="1">
        <f>IFERROR(ROUND(L234*(1-P234), 2), 0)</f>
        <v>30117.75</v>
      </c>
      <c r="R234" s="1">
        <f t="shared" ref="R234:R270" si="75">IFERROR(ROUND(Q234*N234, 2), 0)</f>
        <v>60235.5</v>
      </c>
      <c r="S234" s="56">
        <f t="shared" ref="S234:S251" si="76">IFERROR((X234-Q234)/X234,0)</f>
        <v>0.56879852452791935</v>
      </c>
      <c r="T234" s="56">
        <f t="shared" si="74"/>
        <v>1.3191015265084542</v>
      </c>
      <c r="U234" s="1">
        <f t="shared" si="63"/>
        <v>39728.369999999995</v>
      </c>
      <c r="V234" s="1">
        <f t="shared" ref="V234:V260" si="77">ROUND(U234*N234, 2)</f>
        <v>79456.740000000005</v>
      </c>
      <c r="W234" s="55">
        <v>0</v>
      </c>
      <c r="X234" s="1">
        <v>69846.12</v>
      </c>
      <c r="Y234" s="1">
        <v>139692.24</v>
      </c>
      <c r="Z234" s="65" t="s">
        <v>111</v>
      </c>
      <c r="AA234" s="65" t="s">
        <v>61</v>
      </c>
      <c r="AB234" s="65" t="s">
        <v>460</v>
      </c>
    </row>
    <row r="235" spans="1:28" ht="28.8" x14ac:dyDescent="0.3">
      <c r="A235" s="65"/>
      <c r="B235" s="41" t="s">
        <v>63</v>
      </c>
      <c r="C235" s="29" t="s">
        <v>18</v>
      </c>
      <c r="D235" s="65" t="s">
        <v>110</v>
      </c>
      <c r="E235" s="65" t="s">
        <v>427</v>
      </c>
      <c r="F235" s="65" t="s">
        <v>33</v>
      </c>
      <c r="G235" s="32" t="s">
        <v>43</v>
      </c>
      <c r="H235" s="65" t="s">
        <v>192</v>
      </c>
      <c r="I235" s="65">
        <v>1</v>
      </c>
      <c r="J235" t="s">
        <v>39</v>
      </c>
      <c r="K235" s="65">
        <v>0</v>
      </c>
      <c r="L235" s="57">
        <v>69846.12</v>
      </c>
      <c r="M235" s="58">
        <v>36</v>
      </c>
      <c r="N235" s="57">
        <v>2</v>
      </c>
      <c r="O235" s="66">
        <v>139692.24</v>
      </c>
      <c r="P235" s="62">
        <v>0</v>
      </c>
      <c r="Q235" s="1">
        <f>IFERROR(ROUND(L235*(1-P235), 2), 0)</f>
        <v>69846.12</v>
      </c>
      <c r="R235" s="1">
        <f t="shared" si="75"/>
        <v>139692.24</v>
      </c>
      <c r="S235" s="56">
        <f t="shared" si="76"/>
        <v>0</v>
      </c>
      <c r="T235" s="56">
        <f t="shared" si="74"/>
        <v>0</v>
      </c>
      <c r="U235" s="1">
        <f t="shared" si="63"/>
        <v>0</v>
      </c>
      <c r="V235" s="1">
        <f t="shared" si="77"/>
        <v>0</v>
      </c>
      <c r="W235" s="55">
        <v>0</v>
      </c>
      <c r="X235" s="1">
        <v>69846.12</v>
      </c>
      <c r="Y235" s="1">
        <v>139692.24</v>
      </c>
      <c r="Z235" s="65" t="s">
        <v>111</v>
      </c>
      <c r="AA235" s="65" t="s">
        <v>61</v>
      </c>
      <c r="AB235" s="65" t="s">
        <v>461</v>
      </c>
    </row>
    <row r="236" spans="1:28" ht="28.8" x14ac:dyDescent="0.3">
      <c r="A236" s="65"/>
      <c r="B236" s="41" t="s">
        <v>63</v>
      </c>
      <c r="C236" s="29" t="s">
        <v>18</v>
      </c>
      <c r="D236" s="65" t="s">
        <v>110</v>
      </c>
      <c r="E236" s="65" t="s">
        <v>427</v>
      </c>
      <c r="F236" s="65" t="s">
        <v>33</v>
      </c>
      <c r="G236" s="32" t="s">
        <v>43</v>
      </c>
      <c r="H236" s="65" t="s">
        <v>192</v>
      </c>
      <c r="I236" s="65">
        <v>1</v>
      </c>
      <c r="J236" t="s">
        <v>39</v>
      </c>
      <c r="K236" s="65">
        <v>-56.879853099999998</v>
      </c>
      <c r="L236" s="57">
        <v>69846.12</v>
      </c>
      <c r="M236" s="58">
        <v>36</v>
      </c>
      <c r="N236" s="57">
        <v>2</v>
      </c>
      <c r="O236" s="66">
        <v>139692.24</v>
      </c>
      <c r="P236" s="62">
        <v>-0.568798531</v>
      </c>
      <c r="Q236" s="1">
        <f>IFERROR(ROUND(L236*(1-P236), 2), 0)</f>
        <v>109574.49</v>
      </c>
      <c r="R236" s="1">
        <f t="shared" si="75"/>
        <v>219148.98</v>
      </c>
      <c r="S236" s="56">
        <f t="shared" si="76"/>
        <v>-0.56879852452791957</v>
      </c>
      <c r="T236" s="56">
        <f t="shared" si="74"/>
        <v>-0.36256951777735863</v>
      </c>
      <c r="U236" s="1">
        <f t="shared" si="63"/>
        <v>-39728.37000000001</v>
      </c>
      <c r="V236" s="1">
        <f t="shared" si="77"/>
        <v>-79456.740000000005</v>
      </c>
      <c r="W236" s="55">
        <v>0</v>
      </c>
      <c r="X236" s="1">
        <v>69846.12</v>
      </c>
      <c r="Y236" s="1">
        <v>139692.24</v>
      </c>
      <c r="Z236" s="65" t="s">
        <v>111</v>
      </c>
      <c r="AA236" s="65" t="s">
        <v>61</v>
      </c>
      <c r="AB236" s="65" t="s">
        <v>462</v>
      </c>
    </row>
    <row r="237" spans="1:28" ht="28.8" x14ac:dyDescent="0.3">
      <c r="A237" s="65"/>
      <c r="B237" s="41" t="s">
        <v>63</v>
      </c>
      <c r="C237" s="29" t="s">
        <v>18</v>
      </c>
      <c r="D237" s="65" t="s">
        <v>110</v>
      </c>
      <c r="E237" s="65" t="s">
        <v>427</v>
      </c>
      <c r="F237" s="65" t="s">
        <v>33</v>
      </c>
      <c r="G237" s="32" t="s">
        <v>43</v>
      </c>
      <c r="H237" s="65" t="s">
        <v>192</v>
      </c>
      <c r="I237" s="65">
        <v>1</v>
      </c>
      <c r="J237" t="s">
        <v>39</v>
      </c>
      <c r="K237" s="65">
        <v>200</v>
      </c>
      <c r="L237" s="57">
        <v>69846.12</v>
      </c>
      <c r="M237" s="58">
        <v>36</v>
      </c>
      <c r="N237" s="57">
        <v>2</v>
      </c>
      <c r="O237" s="66">
        <v>139692.24</v>
      </c>
      <c r="P237" s="62">
        <v>2</v>
      </c>
      <c r="Q237" s="1">
        <f>IFERROR(ROUND(L237*(1-P237), 2), 0)</f>
        <v>-69846.12</v>
      </c>
      <c r="R237" s="1">
        <f t="shared" si="75"/>
        <v>-139692.24</v>
      </c>
      <c r="S237" s="56">
        <f t="shared" si="76"/>
        <v>2</v>
      </c>
      <c r="T237" s="56">
        <f t="shared" si="74"/>
        <v>-2</v>
      </c>
      <c r="U237" s="1">
        <f t="shared" si="63"/>
        <v>139692.24</v>
      </c>
      <c r="V237" s="1">
        <f t="shared" si="77"/>
        <v>279384.48</v>
      </c>
      <c r="W237" s="55">
        <v>0</v>
      </c>
      <c r="X237" s="1">
        <v>69846.12</v>
      </c>
      <c r="Y237" s="1">
        <v>139692.24</v>
      </c>
      <c r="Z237" s="65" t="s">
        <v>111</v>
      </c>
      <c r="AA237" s="65" t="s">
        <v>61</v>
      </c>
      <c r="AB237" s="65" t="s">
        <v>463</v>
      </c>
    </row>
    <row r="238" spans="1:28" ht="28.8" x14ac:dyDescent="0.3">
      <c r="A238" s="65"/>
      <c r="B238" s="41" t="s">
        <v>63</v>
      </c>
      <c r="C238" s="29" t="s">
        <v>18</v>
      </c>
      <c r="D238" s="65" t="s">
        <v>110</v>
      </c>
      <c r="E238" s="65" t="s">
        <v>427</v>
      </c>
      <c r="F238" s="65" t="s">
        <v>33</v>
      </c>
      <c r="G238" s="32" t="s">
        <v>43</v>
      </c>
      <c r="H238" s="65" t="s">
        <v>192</v>
      </c>
      <c r="I238" s="65">
        <v>1</v>
      </c>
      <c r="J238" t="s">
        <v>39</v>
      </c>
      <c r="K238" s="65">
        <v>100</v>
      </c>
      <c r="L238" s="57">
        <v>69846.12</v>
      </c>
      <c r="M238" s="58">
        <v>36</v>
      </c>
      <c r="N238" s="57">
        <v>2</v>
      </c>
      <c r="O238" s="66">
        <v>139692.24</v>
      </c>
      <c r="P238" s="62">
        <v>1</v>
      </c>
      <c r="Q238" s="1">
        <f>IFERROR(ROUND(L238*(1-P238), 2), 0)</f>
        <v>0</v>
      </c>
      <c r="R238" s="1">
        <f t="shared" si="75"/>
        <v>0</v>
      </c>
      <c r="S238" s="56">
        <f t="shared" si="76"/>
        <v>1</v>
      </c>
      <c r="T238" s="56">
        <f t="shared" si="74"/>
        <v>0</v>
      </c>
      <c r="U238" s="1">
        <f t="shared" si="63"/>
        <v>69846.12</v>
      </c>
      <c r="V238" s="1">
        <f t="shared" si="77"/>
        <v>139692.24</v>
      </c>
      <c r="W238" s="55">
        <v>0</v>
      </c>
      <c r="X238" s="1">
        <v>69846.12</v>
      </c>
      <c r="Y238" s="1">
        <v>139692.24</v>
      </c>
      <c r="Z238" s="65" t="s">
        <v>111</v>
      </c>
      <c r="AA238" s="65" t="s">
        <v>61</v>
      </c>
      <c r="AB238" s="65" t="s">
        <v>464</v>
      </c>
    </row>
    <row r="239" spans="1:28" ht="28.8" x14ac:dyDescent="0.3">
      <c r="A239" s="65" t="s">
        <v>465</v>
      </c>
      <c r="B239" s="41" t="s">
        <v>63</v>
      </c>
      <c r="C239" s="29" t="s">
        <v>18</v>
      </c>
      <c r="D239" s="65" t="s">
        <v>110</v>
      </c>
      <c r="E239" s="65" t="s">
        <v>467</v>
      </c>
      <c r="F239" s="65" t="s">
        <v>33</v>
      </c>
      <c r="G239" s="32" t="s">
        <v>43</v>
      </c>
      <c r="H239" s="65" t="s">
        <v>114</v>
      </c>
      <c r="I239">
        <v>1</v>
      </c>
      <c r="J239" s="65" t="s">
        <v>49</v>
      </c>
      <c r="K239">
        <v>10959.84</v>
      </c>
      <c r="L239" s="1">
        <v>12213.63</v>
      </c>
      <c r="M239" s="1"/>
      <c r="N239" s="1">
        <v>2</v>
      </c>
      <c r="O239" s="1">
        <v>24427.26</v>
      </c>
      <c r="P239" s="56">
        <f t="shared" ref="P239:P251" si="78">IFERROR((L239-Q239)/L239,0)</f>
        <v>0.10265498463601723</v>
      </c>
      <c r="Q239" s="2">
        <v>10959.84</v>
      </c>
      <c r="R239" s="1">
        <f t="shared" si="75"/>
        <v>21919.68</v>
      </c>
      <c r="S239" s="56">
        <f t="shared" si="76"/>
        <v>0.10265498463601723</v>
      </c>
      <c r="T239" s="56">
        <f t="shared" si="74"/>
        <v>0.11439856786230447</v>
      </c>
      <c r="U239" s="1">
        <f t="shared" si="63"/>
        <v>1253.7899999999991</v>
      </c>
      <c r="V239" s="1">
        <f t="shared" si="77"/>
        <v>2507.58</v>
      </c>
      <c r="W239" s="55">
        <v>0</v>
      </c>
      <c r="X239" s="1">
        <v>12213.63</v>
      </c>
      <c r="Y239" s="1">
        <v>24427.26</v>
      </c>
      <c r="Z239" s="65" t="s">
        <v>111</v>
      </c>
      <c r="AA239" s="65" t="s">
        <v>115</v>
      </c>
      <c r="AB239" s="65" t="s">
        <v>466</v>
      </c>
    </row>
    <row r="240" spans="1:28" ht="28.8" x14ac:dyDescent="0.3">
      <c r="A240" s="65"/>
      <c r="B240" s="41" t="s">
        <v>63</v>
      </c>
      <c r="C240" s="29" t="s">
        <v>18</v>
      </c>
      <c r="D240" s="65" t="s">
        <v>110</v>
      </c>
      <c r="E240" s="65" t="s">
        <v>467</v>
      </c>
      <c r="F240" s="65" t="s">
        <v>33</v>
      </c>
      <c r="G240" s="32" t="s">
        <v>43</v>
      </c>
      <c r="H240" s="65" t="s">
        <v>114</v>
      </c>
      <c r="I240">
        <v>1</v>
      </c>
      <c r="J240" s="65" t="s">
        <v>49</v>
      </c>
      <c r="K240">
        <v>0</v>
      </c>
      <c r="L240" s="1">
        <v>12213.63</v>
      </c>
      <c r="M240" s="1"/>
      <c r="N240" s="1">
        <v>2</v>
      </c>
      <c r="O240" s="1">
        <v>24427.26</v>
      </c>
      <c r="P240" s="56">
        <f t="shared" si="78"/>
        <v>1</v>
      </c>
      <c r="Q240" s="2">
        <v>0</v>
      </c>
      <c r="R240" s="1">
        <f t="shared" si="75"/>
        <v>0</v>
      </c>
      <c r="S240" s="56">
        <f t="shared" si="76"/>
        <v>1</v>
      </c>
      <c r="T240" s="56">
        <f t="shared" si="74"/>
        <v>0</v>
      </c>
      <c r="U240" s="1">
        <f t="shared" si="63"/>
        <v>12213.63</v>
      </c>
      <c r="V240" s="1">
        <f t="shared" si="77"/>
        <v>24427.26</v>
      </c>
      <c r="W240" s="55">
        <v>0</v>
      </c>
      <c r="X240" s="1">
        <v>12213.63</v>
      </c>
      <c r="Y240" s="1">
        <v>24427.26</v>
      </c>
      <c r="Z240" s="65" t="s">
        <v>111</v>
      </c>
      <c r="AA240" s="65" t="s">
        <v>115</v>
      </c>
      <c r="AB240" s="65" t="s">
        <v>468</v>
      </c>
    </row>
    <row r="241" spans="1:28" ht="28.8" x14ac:dyDescent="0.3">
      <c r="A241" s="65"/>
      <c r="B241" s="41" t="s">
        <v>63</v>
      </c>
      <c r="C241" s="29" t="s">
        <v>18</v>
      </c>
      <c r="D241" s="65" t="s">
        <v>110</v>
      </c>
      <c r="E241" s="65" t="s">
        <v>467</v>
      </c>
      <c r="F241" s="65" t="s">
        <v>33</v>
      </c>
      <c r="G241" s="32" t="s">
        <v>43</v>
      </c>
      <c r="H241" s="65" t="s">
        <v>114</v>
      </c>
      <c r="I241">
        <v>1</v>
      </c>
      <c r="J241" s="65" t="s">
        <v>49</v>
      </c>
      <c r="K241">
        <v>-10959.84</v>
      </c>
      <c r="L241" s="1">
        <v>12213.63</v>
      </c>
      <c r="M241" s="1"/>
      <c r="N241" s="1">
        <v>2</v>
      </c>
      <c r="O241" s="1">
        <v>24427.26</v>
      </c>
      <c r="P241" s="56">
        <f t="shared" si="78"/>
        <v>1.8973450153639828</v>
      </c>
      <c r="Q241" s="2">
        <v>-10959.84</v>
      </c>
      <c r="R241" s="1">
        <f t="shared" si="75"/>
        <v>-21919.68</v>
      </c>
      <c r="S241" s="56">
        <f t="shared" si="76"/>
        <v>1.8973450153639828</v>
      </c>
      <c r="T241" s="56">
        <f t="shared" si="74"/>
        <v>-2.1143985678623047</v>
      </c>
      <c r="U241" s="1">
        <f t="shared" si="63"/>
        <v>23173.47</v>
      </c>
      <c r="V241" s="1">
        <f t="shared" si="77"/>
        <v>46346.94</v>
      </c>
      <c r="W241" s="55">
        <v>0</v>
      </c>
      <c r="X241" s="1">
        <v>12213.63</v>
      </c>
      <c r="Y241" s="1">
        <v>24427.26</v>
      </c>
      <c r="Z241" s="65" t="s">
        <v>111</v>
      </c>
      <c r="AA241" s="65" t="s">
        <v>115</v>
      </c>
      <c r="AB241" s="65" t="s">
        <v>469</v>
      </c>
    </row>
    <row r="242" spans="1:28" ht="28.8" x14ac:dyDescent="0.3">
      <c r="A242" s="65"/>
      <c r="B242" s="41" t="s">
        <v>63</v>
      </c>
      <c r="C242" s="29" t="s">
        <v>18</v>
      </c>
      <c r="D242" s="65" t="s">
        <v>110</v>
      </c>
      <c r="E242" s="65" t="s">
        <v>467</v>
      </c>
      <c r="F242" s="65" t="s">
        <v>33</v>
      </c>
      <c r="G242" s="32" t="s">
        <v>43</v>
      </c>
      <c r="H242" s="65" t="s">
        <v>114</v>
      </c>
      <c r="I242">
        <v>1</v>
      </c>
      <c r="J242" s="65" t="s">
        <v>49</v>
      </c>
      <c r="K242" s="1">
        <v>24427.26</v>
      </c>
      <c r="L242" s="1">
        <v>12213.63</v>
      </c>
      <c r="M242" s="1"/>
      <c r="N242" s="1">
        <v>2</v>
      </c>
      <c r="O242" s="1">
        <v>24427.26</v>
      </c>
      <c r="P242" s="56">
        <f t="shared" si="78"/>
        <v>-1</v>
      </c>
      <c r="Q242" s="2">
        <v>24427.26</v>
      </c>
      <c r="R242" s="1">
        <f t="shared" si="75"/>
        <v>48854.52</v>
      </c>
      <c r="S242" s="56">
        <f t="shared" si="76"/>
        <v>-1</v>
      </c>
      <c r="T242" s="56">
        <f t="shared" si="74"/>
        <v>-0.5</v>
      </c>
      <c r="U242" s="1">
        <f t="shared" si="63"/>
        <v>-12213.63</v>
      </c>
      <c r="V242" s="1">
        <f t="shared" si="77"/>
        <v>-24427.26</v>
      </c>
      <c r="W242" s="55">
        <v>0</v>
      </c>
      <c r="X242" s="1">
        <v>12213.63</v>
      </c>
      <c r="Y242" s="1">
        <v>24427.26</v>
      </c>
      <c r="Z242" s="65" t="s">
        <v>111</v>
      </c>
      <c r="AA242" s="65" t="s">
        <v>115</v>
      </c>
      <c r="AB242" s="65" t="s">
        <v>470</v>
      </c>
    </row>
    <row r="243" spans="1:28" ht="28.8" x14ac:dyDescent="0.3">
      <c r="A243" s="65" t="s">
        <v>471</v>
      </c>
      <c r="B243" s="41" t="s">
        <v>63</v>
      </c>
      <c r="C243" s="29" t="s">
        <v>18</v>
      </c>
      <c r="D243" s="65" t="s">
        <v>110</v>
      </c>
      <c r="E243" s="65" t="s">
        <v>467</v>
      </c>
      <c r="F243" s="65" t="s">
        <v>33</v>
      </c>
      <c r="G243" s="32" t="s">
        <v>43</v>
      </c>
      <c r="H243" s="65" t="s">
        <v>114</v>
      </c>
      <c r="I243">
        <v>1</v>
      </c>
      <c r="J243" s="65" t="s">
        <v>52</v>
      </c>
      <c r="K243">
        <v>5.7364889999999997</v>
      </c>
      <c r="L243" s="1">
        <v>12213.63</v>
      </c>
      <c r="M243" s="1"/>
      <c r="N243" s="1">
        <v>2</v>
      </c>
      <c r="O243" s="1">
        <v>24427.26</v>
      </c>
      <c r="P243" s="56">
        <f t="shared" si="78"/>
        <v>5.425250314607525E-2</v>
      </c>
      <c r="Q243" s="1">
        <f>IFERROR(ROUND(X243/(1+T243), 2), 0)</f>
        <v>11551.01</v>
      </c>
      <c r="R243" s="1">
        <f t="shared" si="75"/>
        <v>23102.02</v>
      </c>
      <c r="S243" s="56">
        <f t="shared" si="76"/>
        <v>5.425250314607525E-2</v>
      </c>
      <c r="T243" s="64">
        <v>5.7364890000000002E-2</v>
      </c>
      <c r="U243" s="1">
        <f t="shared" si="63"/>
        <v>662.61999999999898</v>
      </c>
      <c r="V243" s="1">
        <f t="shared" si="77"/>
        <v>1325.24</v>
      </c>
      <c r="W243" s="55">
        <v>0</v>
      </c>
      <c r="X243" s="1">
        <v>12213.63</v>
      </c>
      <c r="Y243" s="1">
        <v>24427.26</v>
      </c>
      <c r="Z243" s="65" t="s">
        <v>111</v>
      </c>
      <c r="AA243" s="65" t="s">
        <v>115</v>
      </c>
      <c r="AB243" s="65" t="s">
        <v>472</v>
      </c>
    </row>
    <row r="244" spans="1:28" ht="28.8" x14ac:dyDescent="0.3">
      <c r="A244" s="65"/>
      <c r="B244" s="41" t="s">
        <v>63</v>
      </c>
      <c r="C244" s="29" t="s">
        <v>18</v>
      </c>
      <c r="D244" s="65" t="s">
        <v>110</v>
      </c>
      <c r="E244" s="65" t="s">
        <v>467</v>
      </c>
      <c r="F244" s="65" t="s">
        <v>33</v>
      </c>
      <c r="G244" s="32" t="s">
        <v>43</v>
      </c>
      <c r="H244" s="65" t="s">
        <v>114</v>
      </c>
      <c r="I244">
        <v>1</v>
      </c>
      <c r="J244" s="65" t="s">
        <v>52</v>
      </c>
      <c r="K244">
        <v>0</v>
      </c>
      <c r="L244" s="1">
        <v>12213.63</v>
      </c>
      <c r="M244" s="1"/>
      <c r="N244" s="1">
        <v>2</v>
      </c>
      <c r="O244" s="1">
        <v>24427.26</v>
      </c>
      <c r="P244" s="56">
        <f t="shared" si="78"/>
        <v>0</v>
      </c>
      <c r="Q244" s="1">
        <f>IFERROR(ROUND(X244/(1+T244), 2), 0)</f>
        <v>12213.63</v>
      </c>
      <c r="R244" s="1">
        <f t="shared" si="75"/>
        <v>24427.26</v>
      </c>
      <c r="S244" s="56">
        <f t="shared" si="76"/>
        <v>0</v>
      </c>
      <c r="T244" s="64">
        <v>0</v>
      </c>
      <c r="U244" s="1">
        <f t="shared" si="63"/>
        <v>0</v>
      </c>
      <c r="V244" s="1">
        <f t="shared" si="77"/>
        <v>0</v>
      </c>
      <c r="W244" s="55">
        <v>0</v>
      </c>
      <c r="X244" s="1">
        <v>12213.63</v>
      </c>
      <c r="Y244" s="1">
        <v>24427.26</v>
      </c>
      <c r="Z244" s="65" t="s">
        <v>111</v>
      </c>
      <c r="AA244" s="65" t="s">
        <v>115</v>
      </c>
      <c r="AB244" s="65" t="s">
        <v>473</v>
      </c>
    </row>
    <row r="245" spans="1:28" ht="28.8" x14ac:dyDescent="0.3">
      <c r="A245" s="65"/>
      <c r="B245" s="41" t="s">
        <v>63</v>
      </c>
      <c r="C245" s="29" t="s">
        <v>18</v>
      </c>
      <c r="D245" s="65" t="s">
        <v>110</v>
      </c>
      <c r="E245" s="65" t="s">
        <v>467</v>
      </c>
      <c r="F245" s="65" t="s">
        <v>33</v>
      </c>
      <c r="G245" s="32" t="s">
        <v>43</v>
      </c>
      <c r="H245" s="65" t="s">
        <v>114</v>
      </c>
      <c r="I245">
        <v>1</v>
      </c>
      <c r="J245" s="65" t="s">
        <v>52</v>
      </c>
      <c r="K245">
        <v>-5.7364889999999997</v>
      </c>
      <c r="L245" s="1">
        <v>12213.63</v>
      </c>
      <c r="M245" s="1"/>
      <c r="N245" s="1">
        <v>2</v>
      </c>
      <c r="O245" s="1">
        <v>24427.26</v>
      </c>
      <c r="P245" s="56">
        <f t="shared" si="78"/>
        <v>-6.0855781614475017E-2</v>
      </c>
      <c r="Q245" s="1">
        <f>IFERROR(ROUND(X245/(1+T245), 2), 0)</f>
        <v>12956.9</v>
      </c>
      <c r="R245" s="1">
        <f t="shared" si="75"/>
        <v>25913.8</v>
      </c>
      <c r="S245" s="56">
        <f t="shared" si="76"/>
        <v>-6.0855781614475017E-2</v>
      </c>
      <c r="T245" s="64">
        <v>-5.7364890000000002E-2</v>
      </c>
      <c r="U245" s="1">
        <f t="shared" si="63"/>
        <v>-743.27000000000044</v>
      </c>
      <c r="V245" s="1">
        <f t="shared" si="77"/>
        <v>-1486.54</v>
      </c>
      <c r="W245" s="55">
        <v>0</v>
      </c>
      <c r="X245" s="1">
        <v>12213.63</v>
      </c>
      <c r="Y245" s="1">
        <v>24427.26</v>
      </c>
      <c r="Z245" s="65" t="s">
        <v>111</v>
      </c>
      <c r="AA245" s="65" t="s">
        <v>115</v>
      </c>
      <c r="AB245" s="65" t="s">
        <v>474</v>
      </c>
    </row>
    <row r="246" spans="1:28" ht="28.8" x14ac:dyDescent="0.3">
      <c r="A246" s="65"/>
      <c r="B246" s="41" t="s">
        <v>63</v>
      </c>
      <c r="C246" s="29" t="s">
        <v>18</v>
      </c>
      <c r="D246" s="65" t="s">
        <v>110</v>
      </c>
      <c r="E246" s="65" t="s">
        <v>467</v>
      </c>
      <c r="F246" s="65" t="s">
        <v>33</v>
      </c>
      <c r="G246" s="32" t="s">
        <v>43</v>
      </c>
      <c r="H246" s="65" t="s">
        <v>114</v>
      </c>
      <c r="I246">
        <v>1</v>
      </c>
      <c r="J246" s="65" t="s">
        <v>52</v>
      </c>
      <c r="K246">
        <v>200</v>
      </c>
      <c r="L246" s="1">
        <v>12213.63</v>
      </c>
      <c r="M246" s="1"/>
      <c r="N246" s="1">
        <v>2</v>
      </c>
      <c r="O246" s="1">
        <v>24427.26</v>
      </c>
      <c r="P246" s="56">
        <f t="shared" si="78"/>
        <v>0.66666666666666663</v>
      </c>
      <c r="Q246" s="1">
        <f>IFERROR(ROUND(X246/(1+T246), 2), 0)</f>
        <v>4071.21</v>
      </c>
      <c r="R246" s="1">
        <f t="shared" si="75"/>
        <v>8142.42</v>
      </c>
      <c r="S246" s="56">
        <f t="shared" si="76"/>
        <v>0.66666666666666663</v>
      </c>
      <c r="T246" s="64">
        <v>2</v>
      </c>
      <c r="U246" s="1">
        <f t="shared" si="63"/>
        <v>8142.4199999999992</v>
      </c>
      <c r="V246" s="1">
        <f t="shared" si="77"/>
        <v>16284.84</v>
      </c>
      <c r="W246" s="55">
        <v>0</v>
      </c>
      <c r="X246" s="1">
        <v>12213.63</v>
      </c>
      <c r="Y246" s="1">
        <v>24427.26</v>
      </c>
      <c r="Z246" s="65" t="s">
        <v>111</v>
      </c>
      <c r="AA246" s="65" t="s">
        <v>115</v>
      </c>
      <c r="AB246" s="65" t="s">
        <v>475</v>
      </c>
    </row>
    <row r="247" spans="1:28" ht="28.8" x14ac:dyDescent="0.3">
      <c r="A247" s="65"/>
      <c r="B247" s="41" t="s">
        <v>63</v>
      </c>
      <c r="C247" s="29" t="s">
        <v>18</v>
      </c>
      <c r="D247" s="65" t="s">
        <v>110</v>
      </c>
      <c r="E247" s="65" t="s">
        <v>467</v>
      </c>
      <c r="F247" s="65" t="s">
        <v>33</v>
      </c>
      <c r="G247" s="32" t="s">
        <v>43</v>
      </c>
      <c r="H247" s="65" t="s">
        <v>114</v>
      </c>
      <c r="I247">
        <v>1</v>
      </c>
      <c r="J247" s="65" t="s">
        <v>52</v>
      </c>
      <c r="K247">
        <v>100</v>
      </c>
      <c r="L247" s="1">
        <v>12213.63</v>
      </c>
      <c r="M247" s="1"/>
      <c r="N247" s="1">
        <v>2</v>
      </c>
      <c r="O247" s="1">
        <v>24427.26</v>
      </c>
      <c r="P247" s="56">
        <f t="shared" si="78"/>
        <v>0.49999959062129767</v>
      </c>
      <c r="Q247" s="1">
        <f>IFERROR(ROUND(X247/(1+T247), 2), 0)</f>
        <v>6106.82</v>
      </c>
      <c r="R247" s="1">
        <f t="shared" si="75"/>
        <v>12213.64</v>
      </c>
      <c r="S247" s="56">
        <f t="shared" si="76"/>
        <v>0.49999959062129767</v>
      </c>
      <c r="T247" s="64">
        <v>1</v>
      </c>
      <c r="U247" s="1">
        <f t="shared" si="63"/>
        <v>6106.8099999999995</v>
      </c>
      <c r="V247" s="1">
        <f t="shared" si="77"/>
        <v>12213.62</v>
      </c>
      <c r="W247" s="55">
        <v>0</v>
      </c>
      <c r="X247" s="1">
        <v>12213.63</v>
      </c>
      <c r="Y247" s="1">
        <v>24427.26</v>
      </c>
      <c r="Z247" s="65" t="s">
        <v>111</v>
      </c>
      <c r="AA247" s="65" t="s">
        <v>115</v>
      </c>
      <c r="AB247" s="65" t="s">
        <v>476</v>
      </c>
    </row>
    <row r="248" spans="1:28" ht="28.8" x14ac:dyDescent="0.3">
      <c r="A248" s="65" t="s">
        <v>477</v>
      </c>
      <c r="B248" s="41" t="s">
        <v>63</v>
      </c>
      <c r="C248" s="29" t="s">
        <v>18</v>
      </c>
      <c r="D248" s="65" t="s">
        <v>235</v>
      </c>
      <c r="E248" s="65" t="s">
        <v>467</v>
      </c>
      <c r="F248" s="65" t="s">
        <v>33</v>
      </c>
      <c r="G248" s="32" t="s">
        <v>43</v>
      </c>
      <c r="H248" s="65" t="s">
        <v>238</v>
      </c>
      <c r="I248">
        <v>1</v>
      </c>
      <c r="J248" s="65" t="s">
        <v>53</v>
      </c>
      <c r="K248" s="65">
        <v>16575.96</v>
      </c>
      <c r="L248" s="66">
        <v>189270</v>
      </c>
      <c r="M248" s="66"/>
      <c r="N248" s="66">
        <v>2</v>
      </c>
      <c r="O248" s="66">
        <v>378540</v>
      </c>
      <c r="P248" s="56">
        <f t="shared" si="78"/>
        <v>8.7578380091932112E-2</v>
      </c>
      <c r="Q248" s="1">
        <f>IFERROR(ROUND(X248-U248, 2), 0)</f>
        <v>172694.04</v>
      </c>
      <c r="R248" s="1">
        <f t="shared" si="75"/>
        <v>345388.08</v>
      </c>
      <c r="S248" s="56">
        <f t="shared" si="76"/>
        <v>8.7578380091932112E-2</v>
      </c>
      <c r="T248" s="56">
        <f>IFERROR((X248-Q248)/Q248,0)</f>
        <v>9.5984551638261459E-2</v>
      </c>
      <c r="U248" s="2">
        <v>16575.96</v>
      </c>
      <c r="V248" s="1">
        <f t="shared" si="77"/>
        <v>33151.919999999998</v>
      </c>
      <c r="W248" s="55">
        <v>0</v>
      </c>
      <c r="X248" s="1">
        <v>189270</v>
      </c>
      <c r="Y248" s="1">
        <v>378540</v>
      </c>
      <c r="Z248" s="65" t="s">
        <v>236</v>
      </c>
      <c r="AA248" s="65" t="s">
        <v>239</v>
      </c>
      <c r="AB248" s="65" t="s">
        <v>478</v>
      </c>
    </row>
    <row r="249" spans="1:28" ht="28.8" x14ac:dyDescent="0.3">
      <c r="A249" s="65"/>
      <c r="B249" s="41" t="s">
        <v>63</v>
      </c>
      <c r="C249" s="29" t="s">
        <v>18</v>
      </c>
      <c r="D249" s="65" t="s">
        <v>235</v>
      </c>
      <c r="E249" s="65" t="s">
        <v>467</v>
      </c>
      <c r="F249" s="65" t="s">
        <v>33</v>
      </c>
      <c r="G249" s="32" t="s">
        <v>43</v>
      </c>
      <c r="H249" s="65" t="s">
        <v>238</v>
      </c>
      <c r="I249">
        <v>1</v>
      </c>
      <c r="J249" s="65" t="s">
        <v>53</v>
      </c>
      <c r="K249">
        <v>0</v>
      </c>
      <c r="L249" s="66">
        <v>189270</v>
      </c>
      <c r="M249" s="66"/>
      <c r="N249" s="66">
        <v>2</v>
      </c>
      <c r="O249" s="66">
        <v>378540</v>
      </c>
      <c r="P249" s="56">
        <f t="shared" si="78"/>
        <v>0</v>
      </c>
      <c r="Q249" s="1">
        <f>IFERROR(ROUND(X249-U249, 2), 0)</f>
        <v>189270</v>
      </c>
      <c r="R249" s="1">
        <f t="shared" si="75"/>
        <v>378540</v>
      </c>
      <c r="S249" s="56">
        <f t="shared" si="76"/>
        <v>0</v>
      </c>
      <c r="T249" s="56">
        <f>IFERROR((X249-Q249)/Q249,0)</f>
        <v>0</v>
      </c>
      <c r="U249" s="2">
        <v>0</v>
      </c>
      <c r="V249" s="1">
        <f t="shared" si="77"/>
        <v>0</v>
      </c>
      <c r="W249" s="55">
        <v>0</v>
      </c>
      <c r="X249" s="1">
        <v>189270</v>
      </c>
      <c r="Y249" s="1">
        <v>378540</v>
      </c>
      <c r="Z249" s="65" t="s">
        <v>236</v>
      </c>
      <c r="AA249" s="65" t="s">
        <v>239</v>
      </c>
      <c r="AB249" s="65" t="s">
        <v>479</v>
      </c>
    </row>
    <row r="250" spans="1:28" ht="28.8" x14ac:dyDescent="0.3">
      <c r="A250" s="65"/>
      <c r="B250" s="41" t="s">
        <v>63</v>
      </c>
      <c r="C250" s="29" t="s">
        <v>18</v>
      </c>
      <c r="D250" s="65" t="s">
        <v>235</v>
      </c>
      <c r="E250" s="65" t="s">
        <v>467</v>
      </c>
      <c r="F250" s="65" t="s">
        <v>33</v>
      </c>
      <c r="G250" s="32" t="s">
        <v>43</v>
      </c>
      <c r="H250" s="65" t="s">
        <v>238</v>
      </c>
      <c r="I250">
        <v>1</v>
      </c>
      <c r="J250" s="65" t="s">
        <v>53</v>
      </c>
      <c r="K250" s="65">
        <v>-16575.96</v>
      </c>
      <c r="L250" s="66">
        <v>189270</v>
      </c>
      <c r="M250" s="66"/>
      <c r="N250" s="66">
        <v>2</v>
      </c>
      <c r="O250" s="66">
        <v>378540</v>
      </c>
      <c r="P250" s="56">
        <f t="shared" si="78"/>
        <v>-8.7578380091932112E-2</v>
      </c>
      <c r="Q250" s="1">
        <f>IFERROR(ROUND(X250-U250, 2), 0)</f>
        <v>205845.96</v>
      </c>
      <c r="R250" s="1">
        <f t="shared" si="75"/>
        <v>411691.92</v>
      </c>
      <c r="S250" s="56">
        <f t="shared" si="76"/>
        <v>-8.7578380091932112E-2</v>
      </c>
      <c r="T250" s="56">
        <f>IFERROR((X250-Q250)/Q250,0)</f>
        <v>-8.0526039957257323E-2</v>
      </c>
      <c r="U250" s="2">
        <v>-16575.96</v>
      </c>
      <c r="V250" s="1">
        <f t="shared" si="77"/>
        <v>-33151.919999999998</v>
      </c>
      <c r="W250" s="55">
        <v>0</v>
      </c>
      <c r="X250" s="1">
        <v>189270</v>
      </c>
      <c r="Y250" s="1">
        <v>378540</v>
      </c>
      <c r="Z250" s="65" t="s">
        <v>236</v>
      </c>
      <c r="AA250" s="65" t="s">
        <v>239</v>
      </c>
      <c r="AB250" s="65" t="s">
        <v>480</v>
      </c>
    </row>
    <row r="251" spans="1:28" ht="28.8" x14ac:dyDescent="0.3">
      <c r="A251" s="65"/>
      <c r="B251" s="41" t="s">
        <v>63</v>
      </c>
      <c r="C251" s="29" t="s">
        <v>18</v>
      </c>
      <c r="D251" s="65" t="s">
        <v>235</v>
      </c>
      <c r="E251" s="65" t="s">
        <v>467</v>
      </c>
      <c r="F251" s="65" t="s">
        <v>33</v>
      </c>
      <c r="G251" s="32" t="s">
        <v>43</v>
      </c>
      <c r="H251" s="65" t="s">
        <v>238</v>
      </c>
      <c r="I251">
        <v>1</v>
      </c>
      <c r="J251" s="65" t="s">
        <v>53</v>
      </c>
      <c r="K251" s="66">
        <v>378540</v>
      </c>
      <c r="L251" s="66">
        <v>189270</v>
      </c>
      <c r="M251" s="66"/>
      <c r="N251" s="66">
        <v>2</v>
      </c>
      <c r="O251" s="66">
        <v>378540</v>
      </c>
      <c r="P251" s="56">
        <f t="shared" si="78"/>
        <v>2</v>
      </c>
      <c r="Q251" s="1">
        <f>IFERROR(ROUND(X251-U251, 2), 0)</f>
        <v>-189270</v>
      </c>
      <c r="R251" s="1">
        <f t="shared" si="75"/>
        <v>-378540</v>
      </c>
      <c r="S251" s="56">
        <f t="shared" si="76"/>
        <v>2</v>
      </c>
      <c r="T251" s="56">
        <f>IFERROR((X251-Q251)/Q251,0)</f>
        <v>-2</v>
      </c>
      <c r="U251" s="2">
        <v>378540</v>
      </c>
      <c r="V251" s="1">
        <f t="shared" si="77"/>
        <v>757080</v>
      </c>
      <c r="W251" s="55">
        <v>0</v>
      </c>
      <c r="X251" s="1">
        <v>189270</v>
      </c>
      <c r="Y251" s="1">
        <v>378540</v>
      </c>
      <c r="Z251" s="65" t="s">
        <v>236</v>
      </c>
      <c r="AA251" s="65" t="s">
        <v>239</v>
      </c>
      <c r="AB251" s="65" t="s">
        <v>481</v>
      </c>
    </row>
    <row r="252" spans="1:28" ht="28.8" x14ac:dyDescent="0.3">
      <c r="A252" s="65" t="s">
        <v>482</v>
      </c>
      <c r="B252" s="41" t="s">
        <v>63</v>
      </c>
      <c r="C252" s="29" t="s">
        <v>18</v>
      </c>
      <c r="D252" t="s">
        <v>130</v>
      </c>
      <c r="E252" s="65" t="s">
        <v>467</v>
      </c>
      <c r="F252" s="65" t="s">
        <v>33</v>
      </c>
      <c r="G252" s="32" t="s">
        <v>43</v>
      </c>
      <c r="H252" s="65" t="s">
        <v>133</v>
      </c>
      <c r="I252">
        <v>1</v>
      </c>
      <c r="J252" t="s">
        <v>55</v>
      </c>
      <c r="K252">
        <v>36.89</v>
      </c>
      <c r="L252" s="1">
        <v>70</v>
      </c>
      <c r="M252" s="1">
        <v>36</v>
      </c>
      <c r="N252" s="1">
        <v>72</v>
      </c>
      <c r="O252" s="1">
        <v>181440</v>
      </c>
      <c r="P252" s="56">
        <f>IFERROR((M252*L252-Q252)/(M252*L252),0)</f>
        <v>0.74124999999999996</v>
      </c>
      <c r="Q252" s="1">
        <f t="shared" ref="Q252:Q260" si="79">IFERROR(ROUND(X252/(1+T252), 2), 0)</f>
        <v>652.04999999999995</v>
      </c>
      <c r="R252" s="1">
        <f t="shared" si="75"/>
        <v>46947.6</v>
      </c>
      <c r="S252" s="60">
        <v>0.59</v>
      </c>
      <c r="T252" s="60">
        <v>1.4390243902438999</v>
      </c>
      <c r="U252" s="1">
        <f t="shared" ref="U252:U270" si="80">X252-Q252</f>
        <v>938.31999999999994</v>
      </c>
      <c r="V252" s="1">
        <f t="shared" si="77"/>
        <v>67559.039999999994</v>
      </c>
      <c r="W252" s="62">
        <v>0.36890000000000001</v>
      </c>
      <c r="X252" s="1">
        <f>IFERROR(ROUND(M252*L252*(1-W252), 2), 0)</f>
        <v>1590.37</v>
      </c>
      <c r="Y252" s="1">
        <f t="shared" ref="Y252:Y260" si="81">IFERROR(ROUND(X252*N252, 2), 0)</f>
        <v>114506.64</v>
      </c>
      <c r="Z252" t="s">
        <v>131</v>
      </c>
      <c r="AA252" s="65" t="s">
        <v>134</v>
      </c>
      <c r="AB252" s="65" t="s">
        <v>483</v>
      </c>
    </row>
    <row r="253" spans="1:28" ht="28.8" x14ac:dyDescent="0.3">
      <c r="A253" s="65"/>
      <c r="B253" s="41" t="s">
        <v>63</v>
      </c>
      <c r="C253" s="29" t="s">
        <v>18</v>
      </c>
      <c r="D253" t="s">
        <v>130</v>
      </c>
      <c r="E253" s="65" t="s">
        <v>467</v>
      </c>
      <c r="F253" s="65" t="s">
        <v>33</v>
      </c>
      <c r="G253" s="32" t="s">
        <v>43</v>
      </c>
      <c r="H253" s="65" t="s">
        <v>133</v>
      </c>
      <c r="I253">
        <v>1</v>
      </c>
      <c r="J253" t="s">
        <v>55</v>
      </c>
      <c r="K253">
        <v>0</v>
      </c>
      <c r="L253" s="1">
        <v>70</v>
      </c>
      <c r="M253" s="1">
        <v>36</v>
      </c>
      <c r="N253" s="1">
        <v>72</v>
      </c>
      <c r="O253" s="1">
        <v>181440</v>
      </c>
      <c r="P253" s="56">
        <f>IFERROR((M253*L253-Q253)/(M253*L253),0)</f>
        <v>0.59</v>
      </c>
      <c r="Q253" s="1">
        <f t="shared" si="79"/>
        <v>1033.2</v>
      </c>
      <c r="R253" s="1">
        <f t="shared" si="75"/>
        <v>74390.399999999994</v>
      </c>
      <c r="S253" s="60">
        <v>0.59</v>
      </c>
      <c r="T253" s="60">
        <v>1.4390243902438999</v>
      </c>
      <c r="U253" s="1">
        <f t="shared" si="80"/>
        <v>1486.8</v>
      </c>
      <c r="V253" s="1">
        <f t="shared" si="77"/>
        <v>107049.60000000001</v>
      </c>
      <c r="W253" s="62">
        <v>0</v>
      </c>
      <c r="X253" s="1">
        <f>IFERROR(ROUND(M253*L253*(1-W253), 2), 0)</f>
        <v>2520</v>
      </c>
      <c r="Y253" s="1">
        <f t="shared" si="81"/>
        <v>181440</v>
      </c>
      <c r="Z253" t="s">
        <v>131</v>
      </c>
      <c r="AA253" s="65" t="s">
        <v>134</v>
      </c>
      <c r="AB253" s="65" t="s">
        <v>484</v>
      </c>
    </row>
    <row r="254" spans="1:28" ht="28.8" x14ac:dyDescent="0.3">
      <c r="A254" s="65"/>
      <c r="B254" s="41" t="s">
        <v>63</v>
      </c>
      <c r="C254" s="29" t="s">
        <v>18</v>
      </c>
      <c r="D254" t="s">
        <v>130</v>
      </c>
      <c r="E254" s="65" t="s">
        <v>467</v>
      </c>
      <c r="F254" s="65" t="s">
        <v>33</v>
      </c>
      <c r="G254" s="32" t="s">
        <v>43</v>
      </c>
      <c r="H254" s="65" t="s">
        <v>133</v>
      </c>
      <c r="I254">
        <v>1</v>
      </c>
      <c r="J254" t="s">
        <v>55</v>
      </c>
      <c r="K254">
        <v>-36.89</v>
      </c>
      <c r="L254" s="1">
        <v>70</v>
      </c>
      <c r="M254" s="1">
        <v>36</v>
      </c>
      <c r="N254" s="1">
        <v>72</v>
      </c>
      <c r="O254" s="1">
        <v>181440</v>
      </c>
      <c r="P254" s="56">
        <f>IFERROR((M254*L254-Q254)/(M254*L254),0)</f>
        <v>0.43875000000000003</v>
      </c>
      <c r="Q254" s="1">
        <f t="shared" si="79"/>
        <v>1414.35</v>
      </c>
      <c r="R254" s="1">
        <f t="shared" si="75"/>
        <v>101833.2</v>
      </c>
      <c r="S254" s="60">
        <v>0.59</v>
      </c>
      <c r="T254" s="60">
        <v>1.4390243902438999</v>
      </c>
      <c r="U254" s="1">
        <f t="shared" si="80"/>
        <v>2035.2800000000002</v>
      </c>
      <c r="V254" s="1">
        <f t="shared" si="77"/>
        <v>146540.16</v>
      </c>
      <c r="W254" s="62">
        <v>-0.36890000000000001</v>
      </c>
      <c r="X254" s="1">
        <f>IFERROR(ROUND(M254*L254*(1-W254), 2), 0)</f>
        <v>3449.63</v>
      </c>
      <c r="Y254" s="1">
        <f t="shared" si="81"/>
        <v>248373.36</v>
      </c>
      <c r="Z254" t="s">
        <v>131</v>
      </c>
      <c r="AA254" s="65" t="s">
        <v>134</v>
      </c>
      <c r="AB254" s="65" t="s">
        <v>485</v>
      </c>
    </row>
    <row r="255" spans="1:28" ht="28.8" x14ac:dyDescent="0.3">
      <c r="A255" s="65"/>
      <c r="B255" s="41" t="s">
        <v>63</v>
      </c>
      <c r="C255" s="29" t="s">
        <v>18</v>
      </c>
      <c r="D255" t="s">
        <v>130</v>
      </c>
      <c r="E255" s="65" t="s">
        <v>467</v>
      </c>
      <c r="F255" s="65" t="s">
        <v>33</v>
      </c>
      <c r="G255" s="32" t="s">
        <v>43</v>
      </c>
      <c r="H255" s="65" t="s">
        <v>133</v>
      </c>
      <c r="I255">
        <v>1</v>
      </c>
      <c r="J255" t="s">
        <v>55</v>
      </c>
      <c r="K255">
        <v>200</v>
      </c>
      <c r="L255" s="1">
        <v>70</v>
      </c>
      <c r="M255" s="1">
        <v>36</v>
      </c>
      <c r="N255" s="1">
        <v>72</v>
      </c>
      <c r="O255" s="1">
        <v>181440</v>
      </c>
      <c r="P255" s="56">
        <f>IFERROR((M255*L255-Q255)/(M255*L255),0)</f>
        <v>1.41</v>
      </c>
      <c r="Q255" s="1">
        <f t="shared" si="79"/>
        <v>-1033.2</v>
      </c>
      <c r="R255" s="1">
        <f t="shared" si="75"/>
        <v>-74390.399999999994</v>
      </c>
      <c r="S255" s="60">
        <v>0.59</v>
      </c>
      <c r="T255" s="60">
        <v>1.4390243902438999</v>
      </c>
      <c r="U255" s="1">
        <f t="shared" si="80"/>
        <v>-1486.8</v>
      </c>
      <c r="V255" s="1">
        <f t="shared" si="77"/>
        <v>-107049.60000000001</v>
      </c>
      <c r="W255" s="62">
        <v>2</v>
      </c>
      <c r="X255" s="1">
        <f>IFERROR(ROUND(M255*L255*(1-W255), 2), 0)</f>
        <v>-2520</v>
      </c>
      <c r="Y255" s="1">
        <f t="shared" si="81"/>
        <v>-181440</v>
      </c>
      <c r="Z255" t="s">
        <v>131</v>
      </c>
      <c r="AA255" s="65" t="s">
        <v>134</v>
      </c>
      <c r="AB255" s="65" t="s">
        <v>486</v>
      </c>
    </row>
    <row r="256" spans="1:28" ht="28.8" x14ac:dyDescent="0.3">
      <c r="A256" s="65"/>
      <c r="B256" s="41" t="s">
        <v>63</v>
      </c>
      <c r="C256" s="29" t="s">
        <v>18</v>
      </c>
      <c r="D256" t="s">
        <v>130</v>
      </c>
      <c r="E256" s="65" t="s">
        <v>467</v>
      </c>
      <c r="F256" s="65" t="s">
        <v>33</v>
      </c>
      <c r="G256" s="32" t="s">
        <v>43</v>
      </c>
      <c r="H256" s="65" t="s">
        <v>133</v>
      </c>
      <c r="I256">
        <v>1</v>
      </c>
      <c r="J256" t="s">
        <v>55</v>
      </c>
      <c r="K256">
        <v>100</v>
      </c>
      <c r="L256" s="1">
        <v>70</v>
      </c>
      <c r="M256" s="1">
        <v>36</v>
      </c>
      <c r="N256" s="1">
        <v>72</v>
      </c>
      <c r="O256" s="1">
        <v>181440</v>
      </c>
      <c r="P256" s="56">
        <f>IFERROR((M256*L256-Q256)/(M256*L256),0)</f>
        <v>1</v>
      </c>
      <c r="Q256" s="1">
        <f t="shared" si="79"/>
        <v>0</v>
      </c>
      <c r="R256" s="1">
        <f t="shared" si="75"/>
        <v>0</v>
      </c>
      <c r="S256" s="60">
        <v>0.59</v>
      </c>
      <c r="T256" s="60">
        <v>1.4390243902438999</v>
      </c>
      <c r="U256" s="1">
        <f t="shared" si="80"/>
        <v>0</v>
      </c>
      <c r="V256" s="1">
        <f t="shared" si="77"/>
        <v>0</v>
      </c>
      <c r="W256" s="62">
        <v>1</v>
      </c>
      <c r="X256" s="1">
        <f>IFERROR(ROUND(M256*L256*(1-W256), 2), 0)</f>
        <v>0</v>
      </c>
      <c r="Y256" s="1">
        <f t="shared" si="81"/>
        <v>0</v>
      </c>
      <c r="Z256" t="s">
        <v>131</v>
      </c>
      <c r="AA256" s="65" t="s">
        <v>134</v>
      </c>
      <c r="AB256" s="65" t="s">
        <v>487</v>
      </c>
    </row>
    <row r="257" spans="1:28" ht="28.8" x14ac:dyDescent="0.3">
      <c r="A257" s="65" t="s">
        <v>488</v>
      </c>
      <c r="B257" s="41" t="s">
        <v>63</v>
      </c>
      <c r="C257" s="29" t="s">
        <v>18</v>
      </c>
      <c r="D257" s="65" t="s">
        <v>110</v>
      </c>
      <c r="E257" s="65" t="s">
        <v>467</v>
      </c>
      <c r="F257" s="65" t="s">
        <v>33</v>
      </c>
      <c r="G257" s="32" t="s">
        <v>43</v>
      </c>
      <c r="H257" s="65" t="s">
        <v>192</v>
      </c>
      <c r="I257" s="65">
        <v>1</v>
      </c>
      <c r="J257" s="65" t="s">
        <v>56</v>
      </c>
      <c r="K257" s="65">
        <v>60851.25</v>
      </c>
      <c r="L257" s="57">
        <v>69846.12</v>
      </c>
      <c r="M257" s="58">
        <v>36</v>
      </c>
      <c r="N257" s="57">
        <v>2</v>
      </c>
      <c r="O257" s="66">
        <v>139692.24</v>
      </c>
      <c r="P257" s="56">
        <f>IFERROR((L257-Q257)/L257,0)</f>
        <v>0.4772696035227153</v>
      </c>
      <c r="Q257" s="1">
        <f t="shared" si="79"/>
        <v>36510.69</v>
      </c>
      <c r="R257" s="1">
        <f t="shared" si="75"/>
        <v>73021.38</v>
      </c>
      <c r="S257" s="60">
        <v>0.40000103083750299</v>
      </c>
      <c r="T257" s="60">
        <v>0.66666953010909702</v>
      </c>
      <c r="U257" s="1">
        <f t="shared" si="80"/>
        <v>24340.559999999998</v>
      </c>
      <c r="V257" s="1">
        <f t="shared" si="77"/>
        <v>48681.120000000003</v>
      </c>
      <c r="W257" s="56">
        <f>IFERROR((L257-X257)/L257,0)</f>
        <v>0.12878124081910342</v>
      </c>
      <c r="X257" s="3">
        <v>60851.25</v>
      </c>
      <c r="Y257" s="1">
        <f t="shared" si="81"/>
        <v>121702.5</v>
      </c>
      <c r="Z257" s="65" t="s">
        <v>111</v>
      </c>
      <c r="AA257" s="65" t="s">
        <v>61</v>
      </c>
      <c r="AB257" s="65" t="s">
        <v>489</v>
      </c>
    </row>
    <row r="258" spans="1:28" ht="28.8" x14ac:dyDescent="0.3">
      <c r="A258" s="65"/>
      <c r="B258" s="41" t="s">
        <v>63</v>
      </c>
      <c r="C258" s="29" t="s">
        <v>18</v>
      </c>
      <c r="D258" s="65" t="s">
        <v>110</v>
      </c>
      <c r="E258" s="65" t="s">
        <v>467</v>
      </c>
      <c r="F258" s="65" t="s">
        <v>33</v>
      </c>
      <c r="G258" s="32" t="s">
        <v>43</v>
      </c>
      <c r="H258" s="65" t="s">
        <v>192</v>
      </c>
      <c r="I258" s="65">
        <v>1</v>
      </c>
      <c r="J258" s="65" t="s">
        <v>56</v>
      </c>
      <c r="K258" s="65">
        <v>0</v>
      </c>
      <c r="L258" s="57">
        <v>69846.12</v>
      </c>
      <c r="M258" s="58">
        <v>36</v>
      </c>
      <c r="N258" s="57">
        <v>2</v>
      </c>
      <c r="O258" s="66">
        <v>139692.24</v>
      </c>
      <c r="P258" s="56">
        <f>IFERROR((L258-Q258)/L258,0)</f>
        <v>1</v>
      </c>
      <c r="Q258" s="1">
        <f t="shared" si="79"/>
        <v>0</v>
      </c>
      <c r="R258" s="1">
        <f t="shared" si="75"/>
        <v>0</v>
      </c>
      <c r="S258" s="60">
        <v>0.40000103083750299</v>
      </c>
      <c r="T258" s="60">
        <v>0.66666953010909702</v>
      </c>
      <c r="U258" s="1">
        <f t="shared" si="80"/>
        <v>0</v>
      </c>
      <c r="V258" s="1">
        <f t="shared" si="77"/>
        <v>0</v>
      </c>
      <c r="W258" s="56">
        <f>IFERROR((L258-X258)/L258,0)</f>
        <v>1</v>
      </c>
      <c r="X258" s="3">
        <v>0</v>
      </c>
      <c r="Y258" s="1">
        <f t="shared" si="81"/>
        <v>0</v>
      </c>
      <c r="Z258" s="65" t="s">
        <v>111</v>
      </c>
      <c r="AA258" s="65" t="s">
        <v>61</v>
      </c>
      <c r="AB258" s="65" t="s">
        <v>490</v>
      </c>
    </row>
    <row r="259" spans="1:28" ht="28.8" x14ac:dyDescent="0.3">
      <c r="A259" s="65"/>
      <c r="B259" s="41" t="s">
        <v>63</v>
      </c>
      <c r="C259" s="29" t="s">
        <v>18</v>
      </c>
      <c r="D259" s="65" t="s">
        <v>110</v>
      </c>
      <c r="E259" s="65" t="s">
        <v>467</v>
      </c>
      <c r="F259" s="65" t="s">
        <v>33</v>
      </c>
      <c r="G259" s="32" t="s">
        <v>43</v>
      </c>
      <c r="H259" s="65" t="s">
        <v>192</v>
      </c>
      <c r="I259" s="65">
        <v>1</v>
      </c>
      <c r="J259" s="65" t="s">
        <v>56</v>
      </c>
      <c r="K259" s="65">
        <v>-60851.25</v>
      </c>
      <c r="L259" s="57">
        <v>69846.12</v>
      </c>
      <c r="M259" s="58">
        <v>36</v>
      </c>
      <c r="N259" s="57">
        <v>2</v>
      </c>
      <c r="O259" s="66">
        <v>139692.24</v>
      </c>
      <c r="P259" s="56">
        <f>IFERROR((L259-Q259)/L259,0)</f>
        <v>1.5227303964772847</v>
      </c>
      <c r="Q259" s="1">
        <f t="shared" si="79"/>
        <v>-36510.69</v>
      </c>
      <c r="R259" s="1">
        <f t="shared" si="75"/>
        <v>-73021.38</v>
      </c>
      <c r="S259" s="60">
        <v>0.40000103083750299</v>
      </c>
      <c r="T259" s="60">
        <v>0.66666953010909702</v>
      </c>
      <c r="U259" s="1">
        <f t="shared" si="80"/>
        <v>-24340.559999999998</v>
      </c>
      <c r="V259" s="1">
        <f t="shared" si="77"/>
        <v>-48681.120000000003</v>
      </c>
      <c r="W259" s="56">
        <f>IFERROR((L259-X259)/L259,0)</f>
        <v>1.8712187591808966</v>
      </c>
      <c r="X259" s="3">
        <v>-60851.25</v>
      </c>
      <c r="Y259" s="1">
        <f t="shared" si="81"/>
        <v>-121702.5</v>
      </c>
      <c r="Z259" s="65" t="s">
        <v>111</v>
      </c>
      <c r="AA259" s="65" t="s">
        <v>61</v>
      </c>
      <c r="AB259" s="65" t="s">
        <v>491</v>
      </c>
    </row>
    <row r="260" spans="1:28" ht="28.8" x14ac:dyDescent="0.3">
      <c r="A260" s="65"/>
      <c r="B260" s="41" t="s">
        <v>63</v>
      </c>
      <c r="C260" s="29" t="s">
        <v>18</v>
      </c>
      <c r="D260" s="65" t="s">
        <v>110</v>
      </c>
      <c r="E260" s="65" t="s">
        <v>467</v>
      </c>
      <c r="F260" s="65" t="s">
        <v>33</v>
      </c>
      <c r="G260" s="32" t="s">
        <v>43</v>
      </c>
      <c r="H260" s="65" t="s">
        <v>192</v>
      </c>
      <c r="I260" s="65">
        <v>1</v>
      </c>
      <c r="J260" s="65" t="s">
        <v>56</v>
      </c>
      <c r="K260" s="66">
        <v>139692.24</v>
      </c>
      <c r="L260" s="57">
        <v>69846.12</v>
      </c>
      <c r="M260" s="58">
        <v>36</v>
      </c>
      <c r="N260" s="57">
        <v>2</v>
      </c>
      <c r="O260" s="66">
        <v>139692.24</v>
      </c>
      <c r="P260" s="56">
        <f>IFERROR((L260-Q260)/L260,0)</f>
        <v>-0.19999793832499219</v>
      </c>
      <c r="Q260" s="1">
        <f t="shared" si="79"/>
        <v>83815.199999999997</v>
      </c>
      <c r="R260" s="1">
        <f t="shared" si="75"/>
        <v>167630.39999999999</v>
      </c>
      <c r="S260" s="60">
        <v>0.40000103083750299</v>
      </c>
      <c r="T260" s="60">
        <v>0.66666953010909702</v>
      </c>
      <c r="U260" s="1">
        <f t="shared" si="80"/>
        <v>55877.039999999994</v>
      </c>
      <c r="V260" s="1">
        <f t="shared" si="77"/>
        <v>111754.08</v>
      </c>
      <c r="W260" s="56">
        <f>IFERROR((L260-X260)/L260,0)</f>
        <v>-1</v>
      </c>
      <c r="X260" s="3">
        <v>139692.24</v>
      </c>
      <c r="Y260" s="1">
        <f t="shared" si="81"/>
        <v>279384.48</v>
      </c>
      <c r="Z260" s="65" t="s">
        <v>111</v>
      </c>
      <c r="AA260" s="65" t="s">
        <v>61</v>
      </c>
      <c r="AB260" s="65" t="s">
        <v>492</v>
      </c>
    </row>
    <row r="261" spans="1:28" ht="28.8" x14ac:dyDescent="0.3">
      <c r="A261" s="65" t="s">
        <v>493</v>
      </c>
      <c r="B261" s="41" t="s">
        <v>63</v>
      </c>
      <c r="C261" s="29" t="s">
        <v>18</v>
      </c>
      <c r="D261" t="s">
        <v>130</v>
      </c>
      <c r="E261" s="65" t="s">
        <v>467</v>
      </c>
      <c r="F261" s="65" t="s">
        <v>33</v>
      </c>
      <c r="G261" s="32" t="s">
        <v>43</v>
      </c>
      <c r="H261" s="65" t="s">
        <v>133</v>
      </c>
      <c r="I261">
        <v>1</v>
      </c>
      <c r="J261" t="s">
        <v>51</v>
      </c>
      <c r="K261">
        <v>34.824896000000003</v>
      </c>
      <c r="L261" s="1">
        <v>70</v>
      </c>
      <c r="M261" s="1">
        <v>36</v>
      </c>
      <c r="N261" s="1">
        <v>72</v>
      </c>
      <c r="O261" s="1">
        <v>181440</v>
      </c>
      <c r="P261" s="56">
        <f>IFERROR((M261*L261-Q261)/(M261*L261),0)</f>
        <v>0.34824999999999995</v>
      </c>
      <c r="Q261" s="1">
        <f>IFERROR(ROUND(X261*(1-S261), 2), 0)</f>
        <v>1642.41</v>
      </c>
      <c r="R261" s="1">
        <f t="shared" si="75"/>
        <v>118253.52</v>
      </c>
      <c r="S261" s="64">
        <v>0.34824896</v>
      </c>
      <c r="T261" s="56">
        <f t="shared" ref="T261:T270" si="82">IFERROR((X261-Q261)/Q261,0)</f>
        <v>0.53433064825469878</v>
      </c>
      <c r="U261" s="1">
        <f t="shared" si="80"/>
        <v>877.58999999999992</v>
      </c>
      <c r="V261" s="1">
        <f>ROUND(U261*N261, 2)</f>
        <v>63186.48</v>
      </c>
      <c r="W261" s="55">
        <v>0</v>
      </c>
      <c r="X261" s="1">
        <v>2520</v>
      </c>
      <c r="Y261" s="1">
        <v>181440</v>
      </c>
      <c r="Z261" t="s">
        <v>131</v>
      </c>
      <c r="AA261" s="65" t="s">
        <v>134</v>
      </c>
      <c r="AB261" s="65" t="s">
        <v>494</v>
      </c>
    </row>
    <row r="262" spans="1:28" ht="28.8" x14ac:dyDescent="0.3">
      <c r="A262" s="65"/>
      <c r="B262" s="41" t="s">
        <v>63</v>
      </c>
      <c r="C262" s="29" t="s">
        <v>18</v>
      </c>
      <c r="D262" t="s">
        <v>130</v>
      </c>
      <c r="E262" s="65" t="s">
        <v>467</v>
      </c>
      <c r="F262" s="65" t="s">
        <v>33</v>
      </c>
      <c r="G262" s="32" t="s">
        <v>43</v>
      </c>
      <c r="H262" s="65" t="s">
        <v>133</v>
      </c>
      <c r="I262">
        <v>1</v>
      </c>
      <c r="J262" t="s">
        <v>51</v>
      </c>
      <c r="K262">
        <v>0</v>
      </c>
      <c r="L262" s="1">
        <v>70</v>
      </c>
      <c r="M262" s="1">
        <v>36</v>
      </c>
      <c r="N262" s="1">
        <v>72</v>
      </c>
      <c r="O262" s="1">
        <v>181440</v>
      </c>
      <c r="P262" s="56">
        <f>IFERROR((M262*L262-Q262)/(M262*L262),0)</f>
        <v>0</v>
      </c>
      <c r="Q262" s="1">
        <f>IFERROR(ROUND(X262*(1-S262), 2), 0)</f>
        <v>2520</v>
      </c>
      <c r="R262" s="1">
        <f t="shared" si="75"/>
        <v>181440</v>
      </c>
      <c r="S262" s="64">
        <v>0</v>
      </c>
      <c r="T262" s="56">
        <f t="shared" si="82"/>
        <v>0</v>
      </c>
      <c r="U262" s="1">
        <f t="shared" si="80"/>
        <v>0</v>
      </c>
      <c r="V262" s="1">
        <f>ROUND(U262*N262, 2)</f>
        <v>0</v>
      </c>
      <c r="W262" s="55">
        <v>0</v>
      </c>
      <c r="X262" s="1">
        <v>2520</v>
      </c>
      <c r="Y262" s="1">
        <v>181440</v>
      </c>
      <c r="Z262" t="s">
        <v>131</v>
      </c>
      <c r="AA262" s="65" t="s">
        <v>134</v>
      </c>
      <c r="AB262" s="65" t="s">
        <v>495</v>
      </c>
    </row>
    <row r="263" spans="1:28" ht="28.8" x14ac:dyDescent="0.3">
      <c r="A263" s="65"/>
      <c r="B263" s="41" t="s">
        <v>63</v>
      </c>
      <c r="C263" s="29" t="s">
        <v>18</v>
      </c>
      <c r="D263" t="s">
        <v>130</v>
      </c>
      <c r="E263" s="65" t="s">
        <v>467</v>
      </c>
      <c r="F263" s="65" t="s">
        <v>33</v>
      </c>
      <c r="G263" s="32" t="s">
        <v>43</v>
      </c>
      <c r="H263" s="65" t="s">
        <v>133</v>
      </c>
      <c r="I263">
        <v>1</v>
      </c>
      <c r="J263" t="s">
        <v>51</v>
      </c>
      <c r="K263">
        <v>-34.824896000000003</v>
      </c>
      <c r="L263" s="1">
        <v>70</v>
      </c>
      <c r="M263" s="1">
        <v>36</v>
      </c>
      <c r="N263" s="1">
        <v>72</v>
      </c>
      <c r="O263" s="1">
        <v>181440</v>
      </c>
      <c r="P263" s="56">
        <f>IFERROR((M263*L263-Q263)/(M263*L263),0)</f>
        <v>-0.34825000000000006</v>
      </c>
      <c r="Q263" s="1">
        <f>IFERROR(ROUND(X263*(1-S263), 2), 0)</f>
        <v>3397.59</v>
      </c>
      <c r="R263" s="1">
        <f t="shared" si="75"/>
        <v>244626.48</v>
      </c>
      <c r="S263" s="64">
        <v>-0.34824896</v>
      </c>
      <c r="T263" s="56">
        <f t="shared" si="82"/>
        <v>-0.25829779343593551</v>
      </c>
      <c r="U263" s="1">
        <f t="shared" si="80"/>
        <v>-877.59000000000015</v>
      </c>
      <c r="V263" s="1">
        <f>ROUND(U263*N263, 2)</f>
        <v>-63186.48</v>
      </c>
      <c r="W263" s="55">
        <v>0</v>
      </c>
      <c r="X263" s="1">
        <v>2520</v>
      </c>
      <c r="Y263" s="1">
        <v>181440</v>
      </c>
      <c r="Z263" t="s">
        <v>131</v>
      </c>
      <c r="AA263" s="65" t="s">
        <v>134</v>
      </c>
      <c r="AB263" s="65" t="s">
        <v>496</v>
      </c>
    </row>
    <row r="264" spans="1:28" ht="28.8" x14ac:dyDescent="0.3">
      <c r="A264" s="65"/>
      <c r="B264" s="41" t="s">
        <v>63</v>
      </c>
      <c r="C264" s="29" t="s">
        <v>18</v>
      </c>
      <c r="D264" t="s">
        <v>130</v>
      </c>
      <c r="E264" s="65" t="s">
        <v>467</v>
      </c>
      <c r="F264" s="65" t="s">
        <v>33</v>
      </c>
      <c r="G264" s="32" t="s">
        <v>43</v>
      </c>
      <c r="H264" s="65" t="s">
        <v>133</v>
      </c>
      <c r="I264">
        <v>1</v>
      </c>
      <c r="J264" t="s">
        <v>51</v>
      </c>
      <c r="K264">
        <v>200</v>
      </c>
      <c r="L264" s="1">
        <v>70</v>
      </c>
      <c r="M264" s="1">
        <v>36</v>
      </c>
      <c r="N264" s="1">
        <v>72</v>
      </c>
      <c r="O264" s="1">
        <v>181440</v>
      </c>
      <c r="P264" s="56">
        <f>IFERROR((M264*L264-Q264)/(M264*L264),0)</f>
        <v>2</v>
      </c>
      <c r="Q264" s="1">
        <f>IFERROR(ROUND(X264*(1-S264), 2), 0)</f>
        <v>-2520</v>
      </c>
      <c r="R264" s="1">
        <f t="shared" si="75"/>
        <v>-181440</v>
      </c>
      <c r="S264" s="64">
        <v>2</v>
      </c>
      <c r="T264" s="56">
        <f t="shared" si="82"/>
        <v>-2</v>
      </c>
      <c r="U264" s="1">
        <f t="shared" si="80"/>
        <v>5040</v>
      </c>
      <c r="V264" s="1">
        <f>ROUND(U264*N264, 2)</f>
        <v>362880</v>
      </c>
      <c r="W264" s="55">
        <v>0</v>
      </c>
      <c r="X264" s="1">
        <v>2520</v>
      </c>
      <c r="Y264" s="1">
        <v>181440</v>
      </c>
      <c r="Z264" t="s">
        <v>131</v>
      </c>
      <c r="AA264" s="65" t="s">
        <v>134</v>
      </c>
      <c r="AB264" s="65" t="s">
        <v>497</v>
      </c>
    </row>
    <row r="265" spans="1:28" ht="28.8" x14ac:dyDescent="0.3">
      <c r="A265" s="65"/>
      <c r="B265" s="41" t="s">
        <v>63</v>
      </c>
      <c r="C265" s="29" t="s">
        <v>18</v>
      </c>
      <c r="D265" t="s">
        <v>130</v>
      </c>
      <c r="E265" s="65" t="s">
        <v>467</v>
      </c>
      <c r="F265" s="65" t="s">
        <v>33</v>
      </c>
      <c r="G265" s="32" t="s">
        <v>43</v>
      </c>
      <c r="H265" s="65" t="s">
        <v>133</v>
      </c>
      <c r="I265">
        <v>1</v>
      </c>
      <c r="J265" t="s">
        <v>51</v>
      </c>
      <c r="K265">
        <v>100</v>
      </c>
      <c r="L265" s="1">
        <v>70</v>
      </c>
      <c r="M265" s="1">
        <v>36</v>
      </c>
      <c r="N265" s="1">
        <v>72</v>
      </c>
      <c r="O265" s="1">
        <v>181440</v>
      </c>
      <c r="P265" s="56">
        <f>IFERROR((M265*L265-Q265)/(M265*L265),0)</f>
        <v>1</v>
      </c>
      <c r="Q265" s="1">
        <f>IFERROR(ROUND(X265*(1-S265), 2), 0)</f>
        <v>0</v>
      </c>
      <c r="R265" s="1">
        <f t="shared" si="75"/>
        <v>0</v>
      </c>
      <c r="S265" s="64">
        <v>1</v>
      </c>
      <c r="T265" s="56">
        <f t="shared" si="82"/>
        <v>0</v>
      </c>
      <c r="U265" s="1">
        <f t="shared" si="80"/>
        <v>2520</v>
      </c>
      <c r="V265" s="1">
        <f>ROUND(U265*N265, 2)</f>
        <v>181440</v>
      </c>
      <c r="W265" s="55">
        <v>0</v>
      </c>
      <c r="X265" s="1">
        <v>2520</v>
      </c>
      <c r="Y265" s="1">
        <v>181440</v>
      </c>
      <c r="Z265" t="s">
        <v>131</v>
      </c>
      <c r="AA265" s="65" t="s">
        <v>134</v>
      </c>
      <c r="AB265" s="65" t="s">
        <v>498</v>
      </c>
    </row>
    <row r="266" spans="1:28" ht="28.8" x14ac:dyDescent="0.3">
      <c r="A266" s="65" t="s">
        <v>499</v>
      </c>
      <c r="B266" s="41" t="s">
        <v>63</v>
      </c>
      <c r="C266" s="29" t="s">
        <v>18</v>
      </c>
      <c r="D266" s="65" t="s">
        <v>110</v>
      </c>
      <c r="E266" s="65" t="s">
        <v>467</v>
      </c>
      <c r="F266" s="65" t="s">
        <v>33</v>
      </c>
      <c r="G266" s="32" t="s">
        <v>43</v>
      </c>
      <c r="H266" s="65" t="s">
        <v>192</v>
      </c>
      <c r="I266" s="65">
        <v>1</v>
      </c>
      <c r="J266" t="s">
        <v>39</v>
      </c>
      <c r="K266" s="65">
        <v>56.879853099999998</v>
      </c>
      <c r="L266" s="57">
        <v>69846.12</v>
      </c>
      <c r="M266" s="58">
        <v>36</v>
      </c>
      <c r="N266" s="57">
        <v>2</v>
      </c>
      <c r="O266" s="66">
        <v>139692.24</v>
      </c>
      <c r="P266" s="62">
        <v>0.568798531</v>
      </c>
      <c r="Q266" s="1">
        <f>IFERROR(ROUND(L266*(1-P266), 2), 0)</f>
        <v>30117.75</v>
      </c>
      <c r="R266" s="1">
        <f t="shared" si="75"/>
        <v>60235.5</v>
      </c>
      <c r="S266" s="56">
        <f t="shared" ref="S266:S270" si="83">IFERROR((X266-Q266)/X266,0)</f>
        <v>0.56879852452791935</v>
      </c>
      <c r="T266" s="56">
        <f t="shared" si="82"/>
        <v>1.3191015265084542</v>
      </c>
      <c r="U266" s="1">
        <f t="shared" si="80"/>
        <v>39728.369999999995</v>
      </c>
      <c r="V266" s="1">
        <f t="shared" ref="V266:V270" si="84">ROUND(U266*N266, 2)</f>
        <v>79456.740000000005</v>
      </c>
      <c r="W266" s="55">
        <v>0</v>
      </c>
      <c r="X266" s="1">
        <v>69846.12</v>
      </c>
      <c r="Y266" s="1">
        <v>139692.24</v>
      </c>
      <c r="Z266" s="65" t="s">
        <v>111</v>
      </c>
      <c r="AA266" s="65" t="s">
        <v>61</v>
      </c>
      <c r="AB266" s="65" t="s">
        <v>500</v>
      </c>
    </row>
    <row r="267" spans="1:28" ht="28.8" x14ac:dyDescent="0.3">
      <c r="A267" s="65"/>
      <c r="B267" s="41" t="s">
        <v>63</v>
      </c>
      <c r="C267" s="29" t="s">
        <v>18</v>
      </c>
      <c r="D267" s="65" t="s">
        <v>110</v>
      </c>
      <c r="E267" s="65" t="s">
        <v>467</v>
      </c>
      <c r="F267" s="65" t="s">
        <v>33</v>
      </c>
      <c r="G267" s="32" t="s">
        <v>43</v>
      </c>
      <c r="H267" s="65" t="s">
        <v>192</v>
      </c>
      <c r="I267" s="65">
        <v>1</v>
      </c>
      <c r="J267" t="s">
        <v>39</v>
      </c>
      <c r="K267" s="65">
        <v>0</v>
      </c>
      <c r="L267" s="57">
        <v>69846.12</v>
      </c>
      <c r="M267" s="58">
        <v>36</v>
      </c>
      <c r="N267" s="57">
        <v>2</v>
      </c>
      <c r="O267" s="66">
        <v>139692.24</v>
      </c>
      <c r="P267" s="62">
        <v>0</v>
      </c>
      <c r="Q267" s="1">
        <f>IFERROR(ROUND(L267*(1-P267), 2), 0)</f>
        <v>69846.12</v>
      </c>
      <c r="R267" s="1">
        <f t="shared" si="75"/>
        <v>139692.24</v>
      </c>
      <c r="S267" s="56">
        <f t="shared" si="83"/>
        <v>0</v>
      </c>
      <c r="T267" s="56">
        <f t="shared" si="82"/>
        <v>0</v>
      </c>
      <c r="U267" s="1">
        <f t="shared" si="80"/>
        <v>0</v>
      </c>
      <c r="V267" s="1">
        <f t="shared" si="84"/>
        <v>0</v>
      </c>
      <c r="W267" s="55">
        <v>0</v>
      </c>
      <c r="X267" s="1">
        <v>69846.12</v>
      </c>
      <c r="Y267" s="1">
        <v>139692.24</v>
      </c>
      <c r="Z267" s="65" t="s">
        <v>111</v>
      </c>
      <c r="AA267" s="65" t="s">
        <v>61</v>
      </c>
      <c r="AB267" s="65" t="s">
        <v>501</v>
      </c>
    </row>
    <row r="268" spans="1:28" ht="28.8" x14ac:dyDescent="0.3">
      <c r="A268" s="65"/>
      <c r="B268" s="41" t="s">
        <v>63</v>
      </c>
      <c r="C268" s="29" t="s">
        <v>18</v>
      </c>
      <c r="D268" s="65" t="s">
        <v>110</v>
      </c>
      <c r="E268" s="65" t="s">
        <v>467</v>
      </c>
      <c r="F268" s="65" t="s">
        <v>33</v>
      </c>
      <c r="G268" s="32" t="s">
        <v>43</v>
      </c>
      <c r="H268" s="65" t="s">
        <v>192</v>
      </c>
      <c r="I268" s="65">
        <v>1</v>
      </c>
      <c r="J268" t="s">
        <v>39</v>
      </c>
      <c r="K268" s="65">
        <v>-56.879853099999998</v>
      </c>
      <c r="L268" s="57">
        <v>69846.12</v>
      </c>
      <c r="M268" s="58">
        <v>36</v>
      </c>
      <c r="N268" s="57">
        <v>2</v>
      </c>
      <c r="O268" s="66">
        <v>139692.24</v>
      </c>
      <c r="P268" s="62">
        <v>-0.568798531</v>
      </c>
      <c r="Q268" s="1">
        <f>IFERROR(ROUND(L268*(1-P268), 2), 0)</f>
        <v>109574.49</v>
      </c>
      <c r="R268" s="1">
        <f t="shared" si="75"/>
        <v>219148.98</v>
      </c>
      <c r="S268" s="56">
        <f t="shared" si="83"/>
        <v>-0.56879852452791957</v>
      </c>
      <c r="T268" s="56">
        <f t="shared" si="82"/>
        <v>-0.36256951777735863</v>
      </c>
      <c r="U268" s="1">
        <f t="shared" si="80"/>
        <v>-39728.37000000001</v>
      </c>
      <c r="V268" s="1">
        <f t="shared" si="84"/>
        <v>-79456.740000000005</v>
      </c>
      <c r="W268" s="55">
        <v>0</v>
      </c>
      <c r="X268" s="1">
        <v>69846.12</v>
      </c>
      <c r="Y268" s="1">
        <v>139692.24</v>
      </c>
      <c r="Z268" s="65" t="s">
        <v>111</v>
      </c>
      <c r="AA268" s="65" t="s">
        <v>61</v>
      </c>
      <c r="AB268" s="65" t="s">
        <v>502</v>
      </c>
    </row>
    <row r="269" spans="1:28" ht="28.8" x14ac:dyDescent="0.3">
      <c r="A269" s="65"/>
      <c r="B269" s="41" t="s">
        <v>63</v>
      </c>
      <c r="C269" s="29" t="s">
        <v>18</v>
      </c>
      <c r="D269" s="65" t="s">
        <v>110</v>
      </c>
      <c r="E269" s="65" t="s">
        <v>467</v>
      </c>
      <c r="F269" s="65" t="s">
        <v>33</v>
      </c>
      <c r="G269" s="32" t="s">
        <v>43</v>
      </c>
      <c r="H269" s="65" t="s">
        <v>192</v>
      </c>
      <c r="I269" s="65">
        <v>1</v>
      </c>
      <c r="J269" t="s">
        <v>39</v>
      </c>
      <c r="K269" s="65">
        <v>200</v>
      </c>
      <c r="L269" s="57">
        <v>69846.12</v>
      </c>
      <c r="M269" s="58">
        <v>36</v>
      </c>
      <c r="N269" s="57">
        <v>2</v>
      </c>
      <c r="O269" s="66">
        <v>139692.24</v>
      </c>
      <c r="P269" s="62">
        <v>2</v>
      </c>
      <c r="Q269" s="1">
        <f>IFERROR(ROUND(L269*(1-P269), 2), 0)</f>
        <v>-69846.12</v>
      </c>
      <c r="R269" s="1">
        <f t="shared" si="75"/>
        <v>-139692.24</v>
      </c>
      <c r="S269" s="56">
        <f t="shared" si="83"/>
        <v>2</v>
      </c>
      <c r="T269" s="56">
        <f t="shared" si="82"/>
        <v>-2</v>
      </c>
      <c r="U269" s="1">
        <f t="shared" si="80"/>
        <v>139692.24</v>
      </c>
      <c r="V269" s="1">
        <f t="shared" si="84"/>
        <v>279384.48</v>
      </c>
      <c r="W269" s="55">
        <v>0</v>
      </c>
      <c r="X269" s="1">
        <v>69846.12</v>
      </c>
      <c r="Y269" s="1">
        <v>139692.24</v>
      </c>
      <c r="Z269" s="65" t="s">
        <v>111</v>
      </c>
      <c r="AA269" s="65" t="s">
        <v>61</v>
      </c>
      <c r="AB269" s="65" t="s">
        <v>503</v>
      </c>
    </row>
    <row r="270" spans="1:28" ht="28.8" x14ac:dyDescent="0.3">
      <c r="A270" s="65"/>
      <c r="B270" s="41" t="s">
        <v>63</v>
      </c>
      <c r="C270" s="29" t="s">
        <v>18</v>
      </c>
      <c r="D270" s="65" t="s">
        <v>110</v>
      </c>
      <c r="E270" s="65" t="s">
        <v>467</v>
      </c>
      <c r="F270" s="65" t="s">
        <v>33</v>
      </c>
      <c r="G270" s="32" t="s">
        <v>43</v>
      </c>
      <c r="H270" s="65" t="s">
        <v>192</v>
      </c>
      <c r="I270" s="65">
        <v>1</v>
      </c>
      <c r="J270" t="s">
        <v>39</v>
      </c>
      <c r="K270" s="65">
        <v>100</v>
      </c>
      <c r="L270" s="57">
        <v>69846.12</v>
      </c>
      <c r="M270" s="58">
        <v>36</v>
      </c>
      <c r="N270" s="57">
        <v>2</v>
      </c>
      <c r="O270" s="66">
        <v>139692.24</v>
      </c>
      <c r="P270" s="62">
        <v>1</v>
      </c>
      <c r="Q270" s="1">
        <f>IFERROR(ROUND(L270*(1-P270), 2), 0)</f>
        <v>0</v>
      </c>
      <c r="R270" s="1">
        <f t="shared" si="75"/>
        <v>0</v>
      </c>
      <c r="S270" s="56">
        <f t="shared" si="83"/>
        <v>1</v>
      </c>
      <c r="T270" s="56">
        <f t="shared" si="82"/>
        <v>0</v>
      </c>
      <c r="U270" s="1">
        <f t="shared" si="80"/>
        <v>69846.12</v>
      </c>
      <c r="V270" s="1">
        <f t="shared" si="84"/>
        <v>139692.24</v>
      </c>
      <c r="W270" s="55">
        <v>0</v>
      </c>
      <c r="X270" s="1">
        <v>69846.12</v>
      </c>
      <c r="Y270" s="1">
        <v>139692.24</v>
      </c>
      <c r="Z270" s="65" t="s">
        <v>111</v>
      </c>
      <c r="AA270" s="65" t="s">
        <v>61</v>
      </c>
      <c r="AB270" s="65" t="s">
        <v>504</v>
      </c>
    </row>
  </sheetData>
  <autoFilter ref="A1:AB270" xr:uid="{1992FF1B-9319-480B-A8BB-A1C0E767BD96}"/>
  <phoneticPr fontId="9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A3B5-72DE-4055-88DD-5680B8E1F6B5}">
  <dimension ref="A1:AC8"/>
  <sheetViews>
    <sheetView workbookViewId="0">
      <selection activeCell="B7" sqref="A1:XFD1048576"/>
    </sheetView>
  </sheetViews>
  <sheetFormatPr defaultColWidth="9" defaultRowHeight="14.4" x14ac:dyDescent="0.3"/>
  <cols>
    <col min="1" max="1" width="9" style="40"/>
    <col min="2" max="2" width="20.33203125" style="40" customWidth="1"/>
    <col min="3" max="3" width="21.33203125" style="40" customWidth="1"/>
    <col min="4" max="4" width="19.88671875" style="40" customWidth="1"/>
    <col min="5" max="6" width="26.88671875" style="40" customWidth="1"/>
    <col min="7" max="16" width="9" style="40"/>
    <col min="17" max="17" width="13.44140625" style="40" customWidth="1"/>
    <col min="18" max="19" width="9" style="40"/>
    <col min="20" max="20" width="18.33203125" style="40" customWidth="1"/>
    <col min="21" max="21" width="17.33203125" style="40" bestFit="1" customWidth="1"/>
    <col min="22" max="23" width="9" style="40"/>
    <col min="24" max="24" width="13.44140625" style="40" customWidth="1"/>
    <col min="25" max="25" width="35.6640625" style="40" customWidth="1"/>
    <col min="26" max="26" width="9" style="40"/>
    <col min="27" max="27" width="14.88671875" style="40" customWidth="1"/>
    <col min="28" max="28" width="13.44140625" style="40" customWidth="1"/>
    <col min="29" max="16384" width="9" style="40"/>
  </cols>
  <sheetData>
    <row r="1" spans="1:29" s="4" customFormat="1" ht="58.2" thickBot="1" x14ac:dyDescent="0.35">
      <c r="A1" s="11" t="s">
        <v>22</v>
      </c>
      <c r="B1" s="45" t="s">
        <v>62</v>
      </c>
      <c r="C1" s="38" t="s">
        <v>17</v>
      </c>
      <c r="D1" s="39" t="s">
        <v>41</v>
      </c>
      <c r="E1" s="16" t="s">
        <v>21</v>
      </c>
      <c r="F1" s="46" t="s">
        <v>66</v>
      </c>
      <c r="G1" s="5" t="s">
        <v>27</v>
      </c>
      <c r="H1" s="6" t="s">
        <v>29</v>
      </c>
      <c r="I1" s="7" t="s">
        <v>28</v>
      </c>
      <c r="J1" s="6" t="s">
        <v>68</v>
      </c>
      <c r="K1" s="8" t="s">
        <v>34</v>
      </c>
      <c r="L1" s="9" t="s">
        <v>35</v>
      </c>
      <c r="M1" s="10" t="s">
        <v>36</v>
      </c>
      <c r="N1" s="12" t="s">
        <v>14</v>
      </c>
      <c r="O1" s="12" t="s">
        <v>46</v>
      </c>
      <c r="P1" s="15" t="s">
        <v>40</v>
      </c>
      <c r="Q1" s="15" t="s">
        <v>48</v>
      </c>
      <c r="R1" s="13" t="s">
        <v>39</v>
      </c>
      <c r="S1" s="13" t="s">
        <v>49</v>
      </c>
      <c r="T1" s="13" t="s">
        <v>50</v>
      </c>
      <c r="U1" s="13" t="s">
        <v>51</v>
      </c>
      <c r="V1" s="13" t="s">
        <v>52</v>
      </c>
      <c r="W1" s="13" t="s">
        <v>53</v>
      </c>
      <c r="X1" s="13" t="s">
        <v>54</v>
      </c>
      <c r="Y1" s="13" t="s">
        <v>55</v>
      </c>
      <c r="Z1" s="13" t="s">
        <v>56</v>
      </c>
      <c r="AA1" s="14" t="s">
        <v>57</v>
      </c>
    </row>
    <row r="2" spans="1:29" ht="28.8" x14ac:dyDescent="0.3">
      <c r="A2" s="41" t="s">
        <v>564</v>
      </c>
      <c r="B2" s="41" t="s">
        <v>687</v>
      </c>
      <c r="C2" s="29" t="s">
        <v>18</v>
      </c>
      <c r="D2" s="30" t="s">
        <v>13</v>
      </c>
      <c r="E2" s="41" t="s">
        <v>30</v>
      </c>
      <c r="F2" s="41"/>
      <c r="G2" s="31" t="s">
        <v>33</v>
      </c>
      <c r="H2" s="32" t="s">
        <v>43</v>
      </c>
      <c r="I2" s="29" t="s">
        <v>32</v>
      </c>
      <c r="J2" s="29"/>
      <c r="K2" s="42" t="s">
        <v>45</v>
      </c>
      <c r="L2" s="42" t="s">
        <v>38</v>
      </c>
      <c r="M2" s="42">
        <v>12</v>
      </c>
      <c r="N2" s="42" t="s">
        <v>44</v>
      </c>
      <c r="O2" s="29">
        <v>29919.95</v>
      </c>
      <c r="P2" s="29">
        <v>12</v>
      </c>
      <c r="Q2" s="29">
        <f t="shared" ref="Q2:Q8" si="0">P2*O2</f>
        <v>359039.4</v>
      </c>
      <c r="R2" s="33">
        <v>12</v>
      </c>
      <c r="S2" s="34">
        <f t="shared" ref="S2:S8" si="1">O2*(1-R2/100)</f>
        <v>26329.556</v>
      </c>
      <c r="T2" s="34">
        <f>315954.72</f>
        <v>315954.71999999997</v>
      </c>
      <c r="U2" s="34">
        <v>16.399988823499999</v>
      </c>
      <c r="V2" s="125">
        <v>19.617208888699999</v>
      </c>
      <c r="W2" s="34">
        <v>5165.1239999999998</v>
      </c>
      <c r="X2" s="34">
        <v>61981.440000000002</v>
      </c>
      <c r="Y2" s="129">
        <v>-5.2631438220986304</v>
      </c>
      <c r="Z2" s="29">
        <v>31494.68</v>
      </c>
      <c r="AA2" s="88">
        <v>377936.16</v>
      </c>
    </row>
    <row r="3" spans="1:29" x14ac:dyDescent="0.3">
      <c r="O3" s="29">
        <v>60031.199999999997</v>
      </c>
      <c r="P3" s="29">
        <v>12</v>
      </c>
      <c r="Q3" s="29">
        <v>600312</v>
      </c>
      <c r="R3" s="33">
        <v>12</v>
      </c>
      <c r="S3" s="34">
        <f t="shared" si="1"/>
        <v>52827.455999999998</v>
      </c>
      <c r="T3" s="34">
        <v>633929.52</v>
      </c>
      <c r="U3" s="34">
        <v>12</v>
      </c>
      <c r="V3" s="34">
        <v>13.6363636364</v>
      </c>
      <c r="W3" s="34">
        <v>7203.7439999999997</v>
      </c>
      <c r="X3" s="34">
        <v>86444.88</v>
      </c>
      <c r="Y3" s="34">
        <v>0</v>
      </c>
      <c r="Z3" s="29">
        <v>60031.199999999997</v>
      </c>
      <c r="AA3" s="34">
        <v>720374.4</v>
      </c>
    </row>
    <row r="4" spans="1:29" x14ac:dyDescent="0.3">
      <c r="O4" s="29">
        <v>36159</v>
      </c>
      <c r="P4" s="36">
        <v>16</v>
      </c>
      <c r="Q4" s="29">
        <f t="shared" si="0"/>
        <v>578544</v>
      </c>
      <c r="R4" s="33">
        <v>12</v>
      </c>
      <c r="S4" s="34">
        <f t="shared" si="1"/>
        <v>31819.920000000002</v>
      </c>
      <c r="T4" s="34">
        <f t="shared" ref="T4:T6" si="2">S4*P4</f>
        <v>509118.72000000003</v>
      </c>
      <c r="U4" s="34">
        <v>12</v>
      </c>
      <c r="V4" s="34">
        <v>13.6363636364</v>
      </c>
      <c r="W4" s="34">
        <v>4339.08</v>
      </c>
      <c r="X4" s="34">
        <v>69425.279999999999</v>
      </c>
      <c r="Y4" s="34">
        <v>0</v>
      </c>
      <c r="Z4" s="34">
        <v>36159</v>
      </c>
      <c r="AA4" s="34">
        <v>578544</v>
      </c>
    </row>
    <row r="5" spans="1:29" s="42" customFormat="1" x14ac:dyDescent="0.3">
      <c r="A5" s="42" t="s">
        <v>565</v>
      </c>
      <c r="B5" s="41" t="s">
        <v>688</v>
      </c>
      <c r="C5" s="29" t="s">
        <v>18</v>
      </c>
      <c r="D5" s="30" t="s">
        <v>13</v>
      </c>
      <c r="E5" s="41" t="s">
        <v>30</v>
      </c>
      <c r="F5" s="41"/>
      <c r="G5" s="31" t="s">
        <v>33</v>
      </c>
      <c r="H5" s="32" t="s">
        <v>43</v>
      </c>
      <c r="I5" s="29" t="s">
        <v>32</v>
      </c>
      <c r="J5" s="29"/>
      <c r="K5" s="42" t="s">
        <v>37</v>
      </c>
      <c r="L5" s="42" t="s">
        <v>38</v>
      </c>
      <c r="M5" s="42">
        <v>5000</v>
      </c>
      <c r="N5" s="42" t="s">
        <v>47</v>
      </c>
      <c r="O5" s="29">
        <v>29919.95</v>
      </c>
      <c r="P5" s="35">
        <v>5000</v>
      </c>
      <c r="Q5" s="29">
        <f t="shared" si="0"/>
        <v>149599750</v>
      </c>
      <c r="R5" s="44">
        <v>0</v>
      </c>
      <c r="S5" s="34">
        <f t="shared" si="1"/>
        <v>29919.95</v>
      </c>
      <c r="T5" s="34">
        <f>S5*P5</f>
        <v>149599750</v>
      </c>
      <c r="U5" s="44">
        <v>5</v>
      </c>
      <c r="V5" s="34">
        <v>5.2631438220986304</v>
      </c>
      <c r="W5" s="34">
        <v>1574.73</v>
      </c>
      <c r="X5" s="34">
        <v>7873650</v>
      </c>
      <c r="Y5" s="128">
        <v>-5.2631438220986304</v>
      </c>
      <c r="Z5" s="34">
        <v>31494.68</v>
      </c>
      <c r="AA5" s="34">
        <f>Z5*P5</f>
        <v>157473400</v>
      </c>
    </row>
    <row r="6" spans="1:29" x14ac:dyDescent="0.3">
      <c r="O6" s="29">
        <v>36159</v>
      </c>
      <c r="P6" s="35">
        <v>5000</v>
      </c>
      <c r="Q6" s="29">
        <f t="shared" si="0"/>
        <v>180795000</v>
      </c>
      <c r="R6" s="44">
        <v>70.989999999999995</v>
      </c>
      <c r="S6" s="34">
        <f>10489.85</f>
        <v>10489.85</v>
      </c>
      <c r="T6" s="34">
        <f t="shared" si="2"/>
        <v>52449250</v>
      </c>
      <c r="U6" s="44">
        <v>70.989999999999995</v>
      </c>
      <c r="V6" s="34">
        <v>244.7</v>
      </c>
      <c r="W6" s="34">
        <v>25669.15</v>
      </c>
      <c r="X6" s="34">
        <f>W6*P6</f>
        <v>128345750</v>
      </c>
      <c r="Y6" s="34">
        <v>0</v>
      </c>
      <c r="Z6" s="34">
        <v>36159</v>
      </c>
      <c r="AA6" s="34">
        <f t="shared" ref="AA6" si="3">Z6*P6</f>
        <v>180795000</v>
      </c>
    </row>
    <row r="7" spans="1:29" ht="43.2" x14ac:dyDescent="0.3">
      <c r="A7" s="42" t="s">
        <v>662</v>
      </c>
      <c r="B7" s="41" t="s">
        <v>689</v>
      </c>
      <c r="C7" s="29" t="s">
        <v>18</v>
      </c>
      <c r="D7" s="30" t="s">
        <v>13</v>
      </c>
      <c r="E7" s="41" t="s">
        <v>30</v>
      </c>
      <c r="F7" s="41"/>
      <c r="G7" s="31" t="s">
        <v>31</v>
      </c>
      <c r="H7" s="32" t="s">
        <v>65</v>
      </c>
      <c r="I7" s="32" t="s">
        <v>134</v>
      </c>
      <c r="J7" s="29"/>
      <c r="K7" s="42" t="s">
        <v>663</v>
      </c>
      <c r="L7" s="42" t="s">
        <v>664</v>
      </c>
      <c r="M7" s="42">
        <v>15</v>
      </c>
      <c r="N7" s="42" t="s">
        <v>549</v>
      </c>
      <c r="O7" s="34">
        <v>36438.33</v>
      </c>
      <c r="P7" s="90">
        <v>12</v>
      </c>
      <c r="Q7" s="29">
        <f t="shared" si="0"/>
        <v>437259.96</v>
      </c>
      <c r="R7" s="44">
        <v>0</v>
      </c>
      <c r="S7" s="34">
        <f t="shared" si="1"/>
        <v>36438.33</v>
      </c>
      <c r="T7" s="125">
        <v>437259.96</v>
      </c>
      <c r="U7" s="128">
        <v>5.7072012309345199</v>
      </c>
      <c r="V7" s="34">
        <v>6.0526374287734903</v>
      </c>
      <c r="W7" s="34">
        <v>2205.4814999999999</v>
      </c>
      <c r="X7" s="34">
        <v>26465.759999999998</v>
      </c>
      <c r="Y7" s="127">
        <v>-6.0526415453178002</v>
      </c>
      <c r="Z7" s="34">
        <v>38643.811500000003</v>
      </c>
      <c r="AA7" s="34">
        <v>463725.72</v>
      </c>
      <c r="AC7" s="126"/>
    </row>
    <row r="8" spans="1:29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 s="40">
        <v>29919.95</v>
      </c>
      <c r="P8" s="40">
        <v>12</v>
      </c>
      <c r="Q8" s="29">
        <f t="shared" si="0"/>
        <v>359039.4</v>
      </c>
      <c r="R8" s="40">
        <v>0</v>
      </c>
      <c r="S8" s="34">
        <f t="shared" si="1"/>
        <v>29919.95</v>
      </c>
      <c r="T8" s="40">
        <v>359039.4</v>
      </c>
      <c r="U8" s="128">
        <v>5.7072012309345199</v>
      </c>
      <c r="V8" s="34">
        <v>6.0526374287734903</v>
      </c>
      <c r="W8" s="40">
        <v>1810.94</v>
      </c>
      <c r="X8" s="40">
        <v>21731.279999999999</v>
      </c>
      <c r="Y8" s="127">
        <v>-6.0526415453178002</v>
      </c>
      <c r="Z8" s="40">
        <v>31730.89</v>
      </c>
      <c r="AA8" s="40">
        <v>380770.68</v>
      </c>
      <c r="AC8" s="34"/>
    </row>
  </sheetData>
  <hyperlinks>
    <hyperlink ref="D2" r:id="rId1" display="https://st1723635638241--stratavar.vf.force.com/a8Fbn000001CRgbEAG" xr:uid="{5A355086-A6E7-439D-B09B-A363188AAEED}"/>
    <hyperlink ref="D5" r:id="rId2" display="https://st1723635638241--stratavar.vf.force.com/a8Fbn000001CRgbEAG" xr:uid="{5943BD35-F350-48A5-803C-BC8E7188E609}"/>
    <hyperlink ref="D7" r:id="rId3" display="https://st1723635638241--stratavar.vf.force.com/a8Fbn000001CRgbEAG" xr:uid="{9BE4A4D7-E28D-48DC-AD5B-FB92A5B58639}"/>
  </hyperlinks>
  <pageMargins left="0.7" right="0.7" top="0.75" bottom="0.75" header="0.3" footer="0.3"/>
  <pageSetup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AC62-415F-4AB3-9869-95756DF2B076}">
  <dimension ref="A1:AC8"/>
  <sheetViews>
    <sheetView workbookViewId="0">
      <selection activeCell="D18" sqref="D18:D19"/>
    </sheetView>
  </sheetViews>
  <sheetFormatPr defaultColWidth="9" defaultRowHeight="14.4" x14ac:dyDescent="0.3"/>
  <cols>
    <col min="1" max="1" width="9" style="40"/>
    <col min="2" max="2" width="20.33203125" style="40" customWidth="1"/>
    <col min="3" max="3" width="21.33203125" style="40" customWidth="1"/>
    <col min="4" max="4" width="19.88671875" style="40" customWidth="1"/>
    <col min="5" max="6" width="26.88671875" style="40" customWidth="1"/>
    <col min="7" max="16" width="9" style="40"/>
    <col min="17" max="17" width="13.44140625" style="40" customWidth="1"/>
    <col min="18" max="19" width="9" style="40"/>
    <col min="20" max="20" width="18.33203125" style="40" customWidth="1"/>
    <col min="21" max="21" width="17.33203125" style="40" bestFit="1" customWidth="1"/>
    <col min="22" max="23" width="9" style="40"/>
    <col min="24" max="24" width="13.44140625" style="40" customWidth="1"/>
    <col min="25" max="25" width="35.6640625" style="40" customWidth="1"/>
    <col min="26" max="26" width="9" style="40"/>
    <col min="27" max="27" width="14.88671875" style="40" customWidth="1"/>
    <col min="28" max="28" width="13.44140625" style="40" customWidth="1"/>
    <col min="29" max="16384" width="9" style="40"/>
  </cols>
  <sheetData>
    <row r="1" spans="1:29" s="4" customFormat="1" ht="58.2" thickBot="1" x14ac:dyDescent="0.35">
      <c r="A1" s="11" t="s">
        <v>22</v>
      </c>
      <c r="B1" s="45" t="s">
        <v>62</v>
      </c>
      <c r="C1" s="38" t="s">
        <v>17</v>
      </c>
      <c r="D1" s="39" t="s">
        <v>41</v>
      </c>
      <c r="E1" s="16" t="s">
        <v>21</v>
      </c>
      <c r="F1" s="46" t="s">
        <v>66</v>
      </c>
      <c r="G1" s="5" t="s">
        <v>27</v>
      </c>
      <c r="H1" s="6" t="s">
        <v>29</v>
      </c>
      <c r="I1" s="7" t="s">
        <v>28</v>
      </c>
      <c r="J1" s="6" t="s">
        <v>68</v>
      </c>
      <c r="K1" s="8" t="s">
        <v>34</v>
      </c>
      <c r="L1" s="9" t="s">
        <v>35</v>
      </c>
      <c r="M1" s="10" t="s">
        <v>36</v>
      </c>
      <c r="N1" s="12" t="s">
        <v>14</v>
      </c>
      <c r="O1" s="12" t="s">
        <v>46</v>
      </c>
      <c r="P1" s="15" t="s">
        <v>40</v>
      </c>
      <c r="Q1" s="15" t="s">
        <v>48</v>
      </c>
      <c r="R1" s="13" t="s">
        <v>39</v>
      </c>
      <c r="S1" s="13" t="s">
        <v>49</v>
      </c>
      <c r="T1" s="13" t="s">
        <v>50</v>
      </c>
      <c r="U1" s="13" t="s">
        <v>51</v>
      </c>
      <c r="V1" s="13" t="s">
        <v>52</v>
      </c>
      <c r="W1" s="13" t="s">
        <v>53</v>
      </c>
      <c r="X1" s="13" t="s">
        <v>54</v>
      </c>
      <c r="Y1" s="13" t="s">
        <v>55</v>
      </c>
      <c r="Z1" s="13" t="s">
        <v>56</v>
      </c>
      <c r="AA1" s="14" t="s">
        <v>57</v>
      </c>
    </row>
    <row r="2" spans="1:29" ht="28.8" x14ac:dyDescent="0.3">
      <c r="A2" s="41" t="s">
        <v>564</v>
      </c>
      <c r="B2" t="s">
        <v>717</v>
      </c>
      <c r="C2" s="29" t="s">
        <v>18</v>
      </c>
      <c r="D2" s="30" t="s">
        <v>13</v>
      </c>
      <c r="E2" s="41" t="s">
        <v>30</v>
      </c>
      <c r="F2" s="41"/>
      <c r="G2" s="31" t="s">
        <v>33</v>
      </c>
      <c r="H2" s="32" t="s">
        <v>43</v>
      </c>
      <c r="I2" s="29" t="s">
        <v>32</v>
      </c>
      <c r="J2" s="29"/>
      <c r="K2" s="42" t="s">
        <v>45</v>
      </c>
      <c r="L2" s="42" t="s">
        <v>38</v>
      </c>
      <c r="M2" s="42">
        <v>12</v>
      </c>
      <c r="N2" s="42" t="s">
        <v>44</v>
      </c>
      <c r="O2" s="29">
        <v>29919.95</v>
      </c>
      <c r="P2" s="29">
        <v>12</v>
      </c>
      <c r="Q2" s="29">
        <f t="shared" ref="Q2:Q8" si="0">P2*O2</f>
        <v>359039.4</v>
      </c>
      <c r="R2" s="33">
        <v>12</v>
      </c>
      <c r="S2" s="34">
        <f t="shared" ref="S2:S8" si="1">O2*(1-R2/100)</f>
        <v>26329.556</v>
      </c>
      <c r="T2" s="34">
        <f>315954.72</f>
        <v>315954.71999999997</v>
      </c>
      <c r="U2" s="34">
        <v>16.399988823499999</v>
      </c>
      <c r="V2" s="125">
        <v>19.617208888699999</v>
      </c>
      <c r="W2" s="34">
        <v>5165.1239999999998</v>
      </c>
      <c r="X2" s="34">
        <v>61981.440000000002</v>
      </c>
      <c r="Y2" s="129">
        <v>-5.2631438220986304</v>
      </c>
      <c r="Z2" s="29">
        <v>31494.68</v>
      </c>
      <c r="AA2" s="88">
        <v>377936.16</v>
      </c>
    </row>
    <row r="3" spans="1:29" x14ac:dyDescent="0.3">
      <c r="O3" s="29">
        <v>60031.199999999997</v>
      </c>
      <c r="P3" s="29">
        <v>12</v>
      </c>
      <c r="Q3" s="29">
        <v>600312</v>
      </c>
      <c r="R3" s="33">
        <v>12</v>
      </c>
      <c r="S3" s="34">
        <f t="shared" si="1"/>
        <v>52827.455999999998</v>
      </c>
      <c r="T3" s="34">
        <v>633929.52</v>
      </c>
      <c r="U3" s="34">
        <v>12</v>
      </c>
      <c r="V3" s="34">
        <v>13.6363636364</v>
      </c>
      <c r="W3" s="34">
        <v>7203.7439999999997</v>
      </c>
      <c r="X3" s="34">
        <v>86444.88</v>
      </c>
      <c r="Y3" s="34">
        <v>0</v>
      </c>
      <c r="Z3" s="29">
        <v>60031.199999999997</v>
      </c>
      <c r="AA3" s="34">
        <v>720374.4</v>
      </c>
    </row>
    <row r="4" spans="1:29" x14ac:dyDescent="0.3">
      <c r="O4" s="29">
        <v>36159</v>
      </c>
      <c r="P4" s="36">
        <v>16</v>
      </c>
      <c r="Q4" s="29">
        <f t="shared" si="0"/>
        <v>578544</v>
      </c>
      <c r="R4" s="33">
        <v>12</v>
      </c>
      <c r="S4" s="34">
        <f t="shared" si="1"/>
        <v>31819.920000000002</v>
      </c>
      <c r="T4" s="34">
        <f t="shared" ref="T4:T6" si="2">S4*P4</f>
        <v>509118.72000000003</v>
      </c>
      <c r="U4" s="34">
        <v>12</v>
      </c>
      <c r="V4" s="34">
        <v>13.6363636364</v>
      </c>
      <c r="W4" s="34">
        <v>4339.08</v>
      </c>
      <c r="X4" s="34">
        <v>69425.279999999999</v>
      </c>
      <c r="Y4" s="34">
        <v>0</v>
      </c>
      <c r="Z4" s="34">
        <v>36159</v>
      </c>
      <c r="AA4" s="34">
        <v>578544</v>
      </c>
    </row>
    <row r="5" spans="1:29" s="42" customFormat="1" x14ac:dyDescent="0.3">
      <c r="A5" s="42" t="s">
        <v>565</v>
      </c>
      <c r="B5" t="s">
        <v>718</v>
      </c>
      <c r="C5" s="29" t="s">
        <v>18</v>
      </c>
      <c r="D5" s="30" t="s">
        <v>13</v>
      </c>
      <c r="E5" s="41" t="s">
        <v>30</v>
      </c>
      <c r="F5" s="41"/>
      <c r="G5" s="31" t="s">
        <v>33</v>
      </c>
      <c r="H5" s="32" t="s">
        <v>43</v>
      </c>
      <c r="I5" s="29" t="s">
        <v>32</v>
      </c>
      <c r="J5" s="29"/>
      <c r="K5" s="42" t="s">
        <v>37</v>
      </c>
      <c r="L5" s="42" t="s">
        <v>38</v>
      </c>
      <c r="M5" s="42">
        <v>5000</v>
      </c>
      <c r="N5" s="42" t="s">
        <v>47</v>
      </c>
      <c r="O5" s="29">
        <v>29919.95</v>
      </c>
      <c r="P5" s="35">
        <v>5000</v>
      </c>
      <c r="Q5" s="29">
        <f t="shared" si="0"/>
        <v>149599750</v>
      </c>
      <c r="R5" s="44">
        <v>0</v>
      </c>
      <c r="S5" s="34">
        <f t="shared" si="1"/>
        <v>29919.95</v>
      </c>
      <c r="T5" s="34">
        <f>S5*P5</f>
        <v>149599750</v>
      </c>
      <c r="U5" s="44">
        <v>5</v>
      </c>
      <c r="V5" s="34">
        <v>5.2631438220986304</v>
      </c>
      <c r="W5" s="34">
        <v>1574.73</v>
      </c>
      <c r="X5" s="34">
        <v>7873650</v>
      </c>
      <c r="Y5" s="128">
        <v>-5.2631438220986304</v>
      </c>
      <c r="Z5" s="34">
        <v>31494.68</v>
      </c>
      <c r="AA5" s="34">
        <f>Z5*P5</f>
        <v>157473400</v>
      </c>
    </row>
    <row r="6" spans="1:29" x14ac:dyDescent="0.3">
      <c r="O6" s="29">
        <v>36159</v>
      </c>
      <c r="P6" s="35">
        <v>5000</v>
      </c>
      <c r="Q6" s="29">
        <f t="shared" si="0"/>
        <v>180795000</v>
      </c>
      <c r="R6" s="44">
        <v>70.989999999999995</v>
      </c>
      <c r="S6" s="34">
        <f>10489.85</f>
        <v>10489.85</v>
      </c>
      <c r="T6" s="34">
        <f t="shared" si="2"/>
        <v>52449250</v>
      </c>
      <c r="U6" s="44">
        <v>70.989999999999995</v>
      </c>
      <c r="V6" s="34">
        <v>244.7</v>
      </c>
      <c r="W6" s="34">
        <v>25669.15</v>
      </c>
      <c r="X6" s="34">
        <f>W6*P6</f>
        <v>128345750</v>
      </c>
      <c r="Y6" s="34">
        <v>0</v>
      </c>
      <c r="Z6" s="34">
        <v>36159</v>
      </c>
      <c r="AA6" s="34">
        <f t="shared" ref="AA6" si="3">Z6*P6</f>
        <v>180795000</v>
      </c>
    </row>
    <row r="7" spans="1:29" ht="43.2" x14ac:dyDescent="0.3">
      <c r="A7" s="42" t="s">
        <v>662</v>
      </c>
      <c r="B7" t="s">
        <v>719</v>
      </c>
      <c r="C7" s="29" t="s">
        <v>18</v>
      </c>
      <c r="D7" s="30" t="s">
        <v>13</v>
      </c>
      <c r="E7" s="41" t="s">
        <v>30</v>
      </c>
      <c r="F7" s="41"/>
      <c r="G7" s="31" t="s">
        <v>31</v>
      </c>
      <c r="H7" s="32" t="s">
        <v>65</v>
      </c>
      <c r="I7" s="32" t="s">
        <v>134</v>
      </c>
      <c r="J7" s="29"/>
      <c r="K7" s="42" t="s">
        <v>663</v>
      </c>
      <c r="L7" s="42" t="s">
        <v>664</v>
      </c>
      <c r="M7" s="42">
        <v>15</v>
      </c>
      <c r="N7" s="42" t="s">
        <v>549</v>
      </c>
      <c r="O7" s="34">
        <v>36438.33</v>
      </c>
      <c r="P7" s="90">
        <v>12</v>
      </c>
      <c r="Q7" s="29">
        <f t="shared" si="0"/>
        <v>437259.96</v>
      </c>
      <c r="R7" s="44">
        <v>0</v>
      </c>
      <c r="S7" s="34">
        <f t="shared" si="1"/>
        <v>36438.33</v>
      </c>
      <c r="T7" s="125">
        <v>437259.96</v>
      </c>
      <c r="U7" s="128">
        <v>5.7072012309345199</v>
      </c>
      <c r="V7" s="34">
        <v>6.0526374287734903</v>
      </c>
      <c r="W7" s="34">
        <v>2205.4814999999999</v>
      </c>
      <c r="X7" s="34">
        <v>26465.759999999998</v>
      </c>
      <c r="Y7" s="127">
        <v>-6.0526415453178002</v>
      </c>
      <c r="Z7" s="34">
        <v>38643.811500000003</v>
      </c>
      <c r="AA7" s="34">
        <v>463725.72</v>
      </c>
      <c r="AC7" s="126"/>
    </row>
    <row r="8" spans="1:29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 s="40">
        <v>29919.95</v>
      </c>
      <c r="P8" s="40">
        <v>12</v>
      </c>
      <c r="Q8" s="29">
        <f t="shared" si="0"/>
        <v>359039.4</v>
      </c>
      <c r="R8" s="40">
        <v>0</v>
      </c>
      <c r="S8" s="34">
        <f t="shared" si="1"/>
        <v>29919.95</v>
      </c>
      <c r="T8" s="40">
        <v>359039.4</v>
      </c>
      <c r="U8" s="128">
        <v>5.7072012309345199</v>
      </c>
      <c r="V8" s="34">
        <v>6.0526374287734903</v>
      </c>
      <c r="W8" s="40">
        <v>1810.94</v>
      </c>
      <c r="X8" s="40">
        <v>21731.279999999999</v>
      </c>
      <c r="Y8" s="127">
        <v>-6.0526415453178002</v>
      </c>
      <c r="Z8" s="40">
        <v>31730.89</v>
      </c>
      <c r="AA8" s="40">
        <v>380770.68</v>
      </c>
      <c r="AC8" s="34"/>
    </row>
  </sheetData>
  <hyperlinks>
    <hyperlink ref="D2" r:id="rId1" display="https://st1723635638241--stratavar.vf.force.com/a8Fbn000001CRgbEAG" xr:uid="{3DBFF68A-3EFB-46E0-9AC2-EF447CB30AE4}"/>
    <hyperlink ref="D5" r:id="rId2" display="https://st1723635638241--stratavar.vf.force.com/a8Fbn000001CRgbEAG" xr:uid="{3B9F9FBB-A3D5-41C6-BA7E-DBDA5B04CB63}"/>
    <hyperlink ref="D7" r:id="rId3" display="https://st1723635638241--stratavar.vf.force.com/a8Fbn000001CRgbEAG" xr:uid="{FCD5AE83-37D0-4896-A2D6-4D11E93C233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50523-2DBD-4EDA-A2B6-FD6065E03BE1}">
  <dimension ref="A1:AA7"/>
  <sheetViews>
    <sheetView workbookViewId="0">
      <selection activeCell="B2" sqref="B2"/>
    </sheetView>
  </sheetViews>
  <sheetFormatPr defaultColWidth="9" defaultRowHeight="14.4" x14ac:dyDescent="0.3"/>
  <cols>
    <col min="1" max="2" width="9" style="40"/>
    <col min="3" max="3" width="21.33203125" style="40" customWidth="1"/>
    <col min="4" max="4" width="19.88671875" style="40" customWidth="1"/>
    <col min="5" max="6" width="26.88671875" style="40" customWidth="1"/>
    <col min="7" max="16" width="9" style="40"/>
    <col min="17" max="17" width="9.44140625" style="40" bestFit="1" customWidth="1"/>
    <col min="18" max="19" width="9" style="40"/>
    <col min="20" max="20" width="12.33203125" style="40" customWidth="1"/>
    <col min="21" max="23" width="9" style="40"/>
    <col min="24" max="24" width="9.44140625" style="40" bestFit="1" customWidth="1"/>
    <col min="25" max="26" width="9" style="40"/>
    <col min="27" max="27" width="14.88671875" style="40" customWidth="1"/>
    <col min="28" max="16384" width="9" style="40"/>
  </cols>
  <sheetData>
    <row r="1" spans="1:27" s="4" customFormat="1" ht="58.2" thickBot="1" x14ac:dyDescent="0.35">
      <c r="A1" s="11" t="s">
        <v>22</v>
      </c>
      <c r="B1" s="45" t="s">
        <v>62</v>
      </c>
      <c r="C1" s="38" t="s">
        <v>17</v>
      </c>
      <c r="D1" s="39" t="s">
        <v>41</v>
      </c>
      <c r="E1" s="16" t="s">
        <v>21</v>
      </c>
      <c r="F1" s="46" t="s">
        <v>66</v>
      </c>
      <c r="G1" s="5" t="s">
        <v>27</v>
      </c>
      <c r="H1" s="6" t="s">
        <v>29</v>
      </c>
      <c r="I1" s="7" t="s">
        <v>28</v>
      </c>
      <c r="J1" s="6" t="s">
        <v>68</v>
      </c>
      <c r="K1" s="8" t="s">
        <v>34</v>
      </c>
      <c r="L1" s="9" t="s">
        <v>35</v>
      </c>
      <c r="M1" s="10" t="s">
        <v>36</v>
      </c>
      <c r="N1" s="12" t="s">
        <v>14</v>
      </c>
      <c r="O1" s="12" t="s">
        <v>46</v>
      </c>
      <c r="P1" s="15" t="s">
        <v>40</v>
      </c>
      <c r="Q1" s="15" t="s">
        <v>48</v>
      </c>
      <c r="R1" s="13" t="s">
        <v>39</v>
      </c>
      <c r="S1" s="13" t="s">
        <v>49</v>
      </c>
      <c r="T1" s="13" t="s">
        <v>50</v>
      </c>
      <c r="U1" s="13" t="s">
        <v>51</v>
      </c>
      <c r="V1" s="13" t="s">
        <v>52</v>
      </c>
      <c r="W1" s="13" t="s">
        <v>53</v>
      </c>
      <c r="X1" s="13" t="s">
        <v>54</v>
      </c>
      <c r="Y1" s="13" t="s">
        <v>55</v>
      </c>
      <c r="Z1" s="13" t="s">
        <v>56</v>
      </c>
      <c r="AA1" s="14" t="s">
        <v>57</v>
      </c>
    </row>
    <row r="2" spans="1:27" ht="43.2" x14ac:dyDescent="0.3">
      <c r="A2" s="41" t="s">
        <v>58</v>
      </c>
      <c r="B2" s="41" t="s">
        <v>63</v>
      </c>
      <c r="C2" s="29" t="s">
        <v>18</v>
      </c>
      <c r="D2" s="71" t="s">
        <v>110</v>
      </c>
      <c r="E2" s="41" t="s">
        <v>30</v>
      </c>
      <c r="F2" s="41"/>
      <c r="G2" s="31" t="s">
        <v>33</v>
      </c>
      <c r="H2" s="32" t="s">
        <v>43</v>
      </c>
      <c r="I2" s="29" t="s">
        <v>32</v>
      </c>
      <c r="J2" s="29"/>
      <c r="K2" s="42" t="s">
        <v>45</v>
      </c>
      <c r="L2" s="42" t="s">
        <v>38</v>
      </c>
      <c r="M2" s="42">
        <v>12</v>
      </c>
      <c r="N2" s="42" t="s">
        <v>44</v>
      </c>
      <c r="O2" s="29">
        <v>29919.95</v>
      </c>
      <c r="P2" s="29">
        <v>12</v>
      </c>
      <c r="Q2" s="29">
        <f t="shared" ref="Q2:Q6" si="0">P2*O2</f>
        <v>359039.4</v>
      </c>
      <c r="R2" s="33">
        <v>12</v>
      </c>
      <c r="S2" s="34">
        <f t="shared" ref="S2:S6" si="1">O2*(1-R2/100)</f>
        <v>26329.556</v>
      </c>
      <c r="T2" s="34">
        <f t="shared" ref="T2:T6" si="2">S2*P2</f>
        <v>315954.67200000002</v>
      </c>
      <c r="U2" s="34">
        <v>12</v>
      </c>
      <c r="V2" s="34">
        <f>X2/T2*100</f>
        <v>13.636364269365828</v>
      </c>
      <c r="W2" s="34">
        <v>3590.39</v>
      </c>
      <c r="X2" s="34">
        <v>43084.73</v>
      </c>
      <c r="Y2" s="34">
        <v>0</v>
      </c>
      <c r="Z2" s="34">
        <v>29919.95</v>
      </c>
      <c r="AA2" s="34">
        <f t="shared" ref="AA2:AA6" si="3">Z2*P2</f>
        <v>359039.4</v>
      </c>
    </row>
    <row r="3" spans="1:27" x14ac:dyDescent="0.3">
      <c r="O3" s="29">
        <v>60031.199999999997</v>
      </c>
      <c r="P3" s="29">
        <v>10</v>
      </c>
      <c r="Q3" s="29">
        <f t="shared" si="0"/>
        <v>600312</v>
      </c>
      <c r="R3" s="33">
        <v>12</v>
      </c>
      <c r="S3" s="34">
        <f t="shared" si="1"/>
        <v>52827.455999999998</v>
      </c>
      <c r="T3" s="34">
        <f t="shared" si="2"/>
        <v>528274.55999999994</v>
      </c>
      <c r="U3" s="34">
        <v>12</v>
      </c>
      <c r="V3" s="34">
        <f>X3/T3*100</f>
        <v>13.636363636363638</v>
      </c>
      <c r="W3" s="34">
        <v>7203.74</v>
      </c>
      <c r="X3" s="34">
        <v>72037.440000000002</v>
      </c>
      <c r="Y3" s="34">
        <v>0</v>
      </c>
      <c r="Z3" s="29">
        <v>60031.199999999997</v>
      </c>
      <c r="AA3" s="34">
        <f t="shared" si="3"/>
        <v>600312</v>
      </c>
    </row>
    <row r="4" spans="1:27" x14ac:dyDescent="0.3">
      <c r="O4" s="29">
        <v>36159</v>
      </c>
      <c r="P4" s="36">
        <v>16</v>
      </c>
      <c r="Q4" s="29">
        <f t="shared" si="0"/>
        <v>578544</v>
      </c>
      <c r="R4" s="33">
        <v>12</v>
      </c>
      <c r="S4" s="34">
        <f t="shared" si="1"/>
        <v>31819.920000000002</v>
      </c>
      <c r="T4" s="34">
        <f t="shared" si="2"/>
        <v>509118.72000000003</v>
      </c>
      <c r="U4" s="34">
        <f>X4/AA4*100</f>
        <v>11.999999999999995</v>
      </c>
      <c r="V4" s="34">
        <f>X4/T4*100</f>
        <v>13.63636363636363</v>
      </c>
      <c r="W4" s="34">
        <f>X4/P4</f>
        <v>4339.0799999999981</v>
      </c>
      <c r="X4" s="34">
        <f>AA4-T4</f>
        <v>69425.27999999997</v>
      </c>
      <c r="Y4" s="34">
        <v>0</v>
      </c>
      <c r="Z4" s="34">
        <f>O4*(1-Y4/100)</f>
        <v>36159</v>
      </c>
      <c r="AA4" s="34">
        <f t="shared" si="3"/>
        <v>578544</v>
      </c>
    </row>
    <row r="5" spans="1:27" s="42" customFormat="1" ht="43.2" x14ac:dyDescent="0.3">
      <c r="A5" s="42" t="s">
        <v>59</v>
      </c>
      <c r="B5" s="41" t="s">
        <v>63</v>
      </c>
      <c r="C5" s="29" t="s">
        <v>18</v>
      </c>
      <c r="D5" s="71" t="s">
        <v>110</v>
      </c>
      <c r="E5" s="41" t="s">
        <v>30</v>
      </c>
      <c r="F5" s="41"/>
      <c r="G5" s="31" t="s">
        <v>33</v>
      </c>
      <c r="H5" s="32" t="s">
        <v>43</v>
      </c>
      <c r="I5" s="29" t="s">
        <v>32</v>
      </c>
      <c r="J5" s="29"/>
      <c r="K5" s="42" t="s">
        <v>37</v>
      </c>
      <c r="L5" s="42" t="s">
        <v>38</v>
      </c>
      <c r="M5" s="42">
        <v>5</v>
      </c>
      <c r="N5" s="42" t="s">
        <v>47</v>
      </c>
      <c r="O5" s="29">
        <v>29919.95</v>
      </c>
      <c r="P5" s="43">
        <v>5</v>
      </c>
      <c r="Q5" s="34">
        <f t="shared" si="0"/>
        <v>149599.75</v>
      </c>
      <c r="R5" s="44">
        <v>70.989999999999995</v>
      </c>
      <c r="S5" s="34">
        <f t="shared" si="1"/>
        <v>8679.7774950000003</v>
      </c>
      <c r="T5" s="34">
        <f t="shared" si="2"/>
        <v>43398.887475000003</v>
      </c>
      <c r="U5" s="44">
        <v>70.989999999999995</v>
      </c>
      <c r="V5" s="34">
        <v>244.7</v>
      </c>
      <c r="W5" s="34">
        <v>21240.06</v>
      </c>
      <c r="X5" s="34">
        <v>106200.3</v>
      </c>
      <c r="Y5" s="34">
        <v>0</v>
      </c>
      <c r="Z5" s="34">
        <v>29919.95</v>
      </c>
      <c r="AA5" s="34">
        <f>Z5*P5</f>
        <v>149599.75</v>
      </c>
    </row>
    <row r="6" spans="1:27" x14ac:dyDescent="0.3">
      <c r="O6" s="29">
        <v>36159</v>
      </c>
      <c r="P6" s="43">
        <v>5</v>
      </c>
      <c r="Q6" s="29">
        <f t="shared" si="0"/>
        <v>180795</v>
      </c>
      <c r="R6" s="44">
        <v>70.989999999999995</v>
      </c>
      <c r="S6" s="34">
        <f t="shared" si="1"/>
        <v>10489.725900000001</v>
      </c>
      <c r="T6" s="34">
        <f t="shared" si="2"/>
        <v>52448.62950000001</v>
      </c>
      <c r="U6" s="44">
        <v>70.989999999999995</v>
      </c>
      <c r="V6" s="34">
        <v>244.7</v>
      </c>
      <c r="W6" s="34">
        <v>25669.15</v>
      </c>
      <c r="X6" s="34">
        <v>128345.75</v>
      </c>
      <c r="Y6" s="34">
        <v>0</v>
      </c>
      <c r="Z6" s="34">
        <v>36159</v>
      </c>
      <c r="AA6" s="34">
        <f t="shared" si="3"/>
        <v>180795</v>
      </c>
    </row>
    <row r="7" spans="1:27" s="42" customFormat="1" ht="43.2" x14ac:dyDescent="0.3">
      <c r="A7" s="42" t="s">
        <v>67</v>
      </c>
      <c r="B7" s="41" t="s">
        <v>63</v>
      </c>
      <c r="C7" s="29" t="s">
        <v>18</v>
      </c>
      <c r="D7" s="71" t="s">
        <v>110</v>
      </c>
      <c r="E7" s="41" t="s">
        <v>30</v>
      </c>
      <c r="F7" s="41" t="s">
        <v>69</v>
      </c>
      <c r="G7" s="31"/>
      <c r="H7" s="32"/>
      <c r="I7" s="29"/>
      <c r="J7" s="29" t="s">
        <v>40</v>
      </c>
      <c r="K7" s="42" t="s">
        <v>37</v>
      </c>
      <c r="L7" s="42" t="s">
        <v>38</v>
      </c>
      <c r="M7" s="42">
        <v>5</v>
      </c>
      <c r="O7" s="29"/>
      <c r="P7" s="43"/>
      <c r="Q7" s="34"/>
      <c r="R7" s="44"/>
      <c r="S7" s="34"/>
      <c r="T7" s="34"/>
      <c r="U7" s="44"/>
      <c r="V7" s="34"/>
      <c r="W7" s="34"/>
      <c r="X7" s="34"/>
      <c r="Y7" s="34"/>
      <c r="Z7" s="34"/>
      <c r="AA7" s="34"/>
    </row>
  </sheetData>
  <hyperlinks>
    <hyperlink ref="D2" r:id="rId1" display="https://gdtusa--intqa--stratavar.sandbox.vf.force.com/a06WD00000AYVIAYA5" xr:uid="{C4EDED65-6711-4357-A58C-F9D65DC513DC}"/>
    <hyperlink ref="D5" r:id="rId2" display="https://gdtusa--intqa--stratavar.sandbox.vf.force.com/a06WD00000AYVIAYA5" xr:uid="{B1848552-254E-4D33-8A06-CEB3D53BF589}"/>
    <hyperlink ref="D7" r:id="rId3" display="https://gdtusa--intqa--stratavar.sandbox.vf.force.com/a06WD00000AYVIAYA5" xr:uid="{301EF1AB-A6A9-4134-974D-ADBD46A41D75}"/>
  </hyperlinks>
  <pageMargins left="0.7" right="0.7" top="0.75" bottom="0.75" header="0.3" footer="0.3"/>
  <pageSetup orientation="portrait" horizontalDpi="4294967293" verticalDpi="0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94C9-B497-41F4-A280-9F95070E9AD7}">
  <dimension ref="A1:A11"/>
  <sheetViews>
    <sheetView zoomScale="85" zoomScaleNormal="85" workbookViewId="0">
      <selection sqref="A1:A1048576"/>
    </sheetView>
  </sheetViews>
  <sheetFormatPr defaultColWidth="76.6640625" defaultRowHeight="14.4" x14ac:dyDescent="0.3"/>
  <cols>
    <col min="1" max="1" width="38.44140625" style="40" customWidth="1"/>
    <col min="2" max="16384" width="76.6640625" style="40"/>
  </cols>
  <sheetData>
    <row r="1" spans="1:1" ht="153" customHeight="1" x14ac:dyDescent="0.3">
      <c r="A1" s="40" t="s">
        <v>695</v>
      </c>
    </row>
    <row r="2" spans="1:1" ht="163.5" customHeight="1" x14ac:dyDescent="0.3">
      <c r="A2" s="40" t="s">
        <v>696</v>
      </c>
    </row>
    <row r="3" spans="1:1" ht="115.2" x14ac:dyDescent="0.3">
      <c r="A3" s="40" t="s">
        <v>697</v>
      </c>
    </row>
    <row r="4" spans="1:1" ht="144" x14ac:dyDescent="0.3">
      <c r="A4" s="40" t="s">
        <v>594</v>
      </c>
    </row>
    <row r="5" spans="1:1" ht="144" x14ac:dyDescent="0.3">
      <c r="A5" s="40" t="s">
        <v>698</v>
      </c>
    </row>
    <row r="6" spans="1:1" ht="144" x14ac:dyDescent="0.3">
      <c r="A6" s="40" t="s">
        <v>703</v>
      </c>
    </row>
    <row r="7" spans="1:1" ht="144" x14ac:dyDescent="0.3">
      <c r="A7" s="40" t="s">
        <v>702</v>
      </c>
    </row>
    <row r="8" spans="1:1" ht="129.6" x14ac:dyDescent="0.3">
      <c r="A8" s="40" t="s">
        <v>505</v>
      </c>
    </row>
    <row r="9" spans="1:1" ht="129.6" x14ac:dyDescent="0.3">
      <c r="A9" s="40" t="s">
        <v>701</v>
      </c>
    </row>
    <row r="10" spans="1:1" ht="129.6" x14ac:dyDescent="0.3">
      <c r="A10" s="40" t="s">
        <v>700</v>
      </c>
    </row>
    <row r="11" spans="1:1" ht="129.6" x14ac:dyDescent="0.3">
      <c r="A11" s="40" t="s">
        <v>699</v>
      </c>
    </row>
  </sheetData>
  <pageMargins left="0.7" right="0.7" top="0.75" bottom="0.75" header="0.3" footer="0.3"/>
  <pageSetup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29D8-3A0D-418D-848F-54E09561268F}">
  <dimension ref="A1:A11"/>
  <sheetViews>
    <sheetView zoomScale="85" zoomScaleNormal="85" workbookViewId="0">
      <selection activeCell="I2" sqref="I2"/>
    </sheetView>
  </sheetViews>
  <sheetFormatPr defaultColWidth="9" defaultRowHeight="109.5" customHeight="1" x14ac:dyDescent="0.3"/>
  <cols>
    <col min="1" max="1" width="33.33203125" style="70" customWidth="1"/>
    <col min="2" max="16384" width="9" style="70"/>
  </cols>
  <sheetData>
    <row r="1" spans="1:1" ht="109.5" customHeight="1" x14ac:dyDescent="0.3">
      <c r="A1" s="69" t="s">
        <v>507</v>
      </c>
    </row>
    <row r="2" spans="1:1" ht="109.5" customHeight="1" x14ac:dyDescent="0.3">
      <c r="A2" s="69" t="s">
        <v>508</v>
      </c>
    </row>
    <row r="3" spans="1:1" ht="109.5" customHeight="1" x14ac:dyDescent="0.3">
      <c r="A3" s="69" t="s">
        <v>509</v>
      </c>
    </row>
    <row r="4" spans="1:1" ht="109.5" customHeight="1" x14ac:dyDescent="0.3">
      <c r="A4" s="69" t="s">
        <v>510</v>
      </c>
    </row>
    <row r="5" spans="1:1" ht="109.5" customHeight="1" x14ac:dyDescent="0.3">
      <c r="A5" s="69" t="s">
        <v>511</v>
      </c>
    </row>
    <row r="6" spans="1:1" ht="109.5" customHeight="1" x14ac:dyDescent="0.3">
      <c r="A6" s="69" t="s">
        <v>512</v>
      </c>
    </row>
    <row r="7" spans="1:1" ht="109.5" customHeight="1" x14ac:dyDescent="0.3">
      <c r="A7" s="69" t="s">
        <v>513</v>
      </c>
    </row>
    <row r="8" spans="1:1" ht="109.5" customHeight="1" x14ac:dyDescent="0.3">
      <c r="A8" s="69" t="s">
        <v>514</v>
      </c>
    </row>
    <row r="9" spans="1:1" ht="109.5" customHeight="1" x14ac:dyDescent="0.3">
      <c r="A9" s="69" t="s">
        <v>515</v>
      </c>
    </row>
    <row r="10" spans="1:1" ht="109.5" customHeight="1" x14ac:dyDescent="0.3">
      <c r="A10" s="69" t="s">
        <v>516</v>
      </c>
    </row>
    <row r="11" spans="1:1" ht="109.5" customHeight="1" x14ac:dyDescent="0.3">
      <c r="A11" s="69" t="s">
        <v>517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5E97-9EA4-4996-8A01-71C9FEE5AB53}">
  <dimension ref="A1:A11"/>
  <sheetViews>
    <sheetView workbookViewId="0">
      <selection activeCell="E4" sqref="E4"/>
    </sheetView>
  </sheetViews>
  <sheetFormatPr defaultRowHeight="14.4" x14ac:dyDescent="0.3"/>
  <cols>
    <col min="1" max="1" width="38.44140625" style="40" customWidth="1"/>
  </cols>
  <sheetData>
    <row r="1" spans="1:1" ht="115.2" x14ac:dyDescent="0.3">
      <c r="A1" s="40" t="s">
        <v>727</v>
      </c>
    </row>
    <row r="2" spans="1:1" ht="115.2" x14ac:dyDescent="0.3">
      <c r="A2" s="40" t="s">
        <v>730</v>
      </c>
    </row>
    <row r="3" spans="1:1" ht="115.2" x14ac:dyDescent="0.3">
      <c r="A3" s="40" t="s">
        <v>733</v>
      </c>
    </row>
    <row r="4" spans="1:1" ht="144" x14ac:dyDescent="0.3">
      <c r="A4" s="40" t="s">
        <v>736</v>
      </c>
    </row>
    <row r="5" spans="1:1" ht="144" x14ac:dyDescent="0.3">
      <c r="A5" s="40" t="s">
        <v>728</v>
      </c>
    </row>
    <row r="6" spans="1:1" ht="144" x14ac:dyDescent="0.3">
      <c r="A6" s="40" t="s">
        <v>731</v>
      </c>
    </row>
    <row r="7" spans="1:1" ht="144" x14ac:dyDescent="0.3">
      <c r="A7" s="40" t="s">
        <v>734</v>
      </c>
    </row>
    <row r="8" spans="1:1" ht="129.6" x14ac:dyDescent="0.3">
      <c r="A8" s="40" t="s">
        <v>737</v>
      </c>
    </row>
    <row r="9" spans="1:1" ht="129.6" x14ac:dyDescent="0.3">
      <c r="A9" s="40" t="s">
        <v>729</v>
      </c>
    </row>
    <row r="10" spans="1:1" ht="129.6" x14ac:dyDescent="0.3">
      <c r="A10" s="40" t="s">
        <v>732</v>
      </c>
    </row>
    <row r="11" spans="1:1" ht="129.6" x14ac:dyDescent="0.3">
      <c r="A11" s="40" t="s">
        <v>735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50B9-C7E6-4030-9B0F-5891A603618F}">
  <dimension ref="A1:R7"/>
  <sheetViews>
    <sheetView workbookViewId="0">
      <selection activeCell="G15" sqref="A1:XFD1048576"/>
    </sheetView>
  </sheetViews>
  <sheetFormatPr defaultRowHeight="14.4" x14ac:dyDescent="0.3"/>
  <cols>
    <col min="1" max="1" width="13.88671875" customWidth="1"/>
    <col min="2" max="2" width="15.88671875" customWidth="1"/>
    <col min="3" max="3" width="21.33203125" customWidth="1"/>
    <col min="4" max="4" width="22.33203125" customWidth="1"/>
    <col min="5" max="14" width="16.33203125" customWidth="1"/>
    <col min="15" max="17" width="17.6640625" customWidth="1"/>
    <col min="18" max="18" width="21.109375" customWidth="1"/>
  </cols>
  <sheetData>
    <row r="1" spans="1:18" ht="29.4" thickBot="1" x14ac:dyDescent="0.35">
      <c r="A1" s="109" t="s">
        <v>22</v>
      </c>
      <c r="B1" s="115" t="s">
        <v>17</v>
      </c>
      <c r="C1" s="116" t="s">
        <v>41</v>
      </c>
      <c r="D1" s="114" t="s">
        <v>62</v>
      </c>
      <c r="E1" s="115" t="s">
        <v>661</v>
      </c>
      <c r="F1" s="121" t="s">
        <v>659</v>
      </c>
      <c r="G1" s="107" t="s">
        <v>634</v>
      </c>
      <c r="H1" s="107" t="s">
        <v>650</v>
      </c>
      <c r="I1" s="108" t="s">
        <v>639</v>
      </c>
      <c r="J1" s="110" t="s">
        <v>637</v>
      </c>
      <c r="K1" s="111" t="s">
        <v>642</v>
      </c>
      <c r="L1" s="113" t="s">
        <v>641</v>
      </c>
      <c r="M1" s="113" t="s">
        <v>651</v>
      </c>
      <c r="N1" s="112" t="s">
        <v>652</v>
      </c>
      <c r="O1" s="103" t="s">
        <v>640</v>
      </c>
      <c r="P1" s="103" t="s">
        <v>643</v>
      </c>
      <c r="Q1" s="103" t="s">
        <v>644</v>
      </c>
      <c r="R1" s="99" t="s">
        <v>81</v>
      </c>
    </row>
    <row r="2" spans="1:18" s="40" customFormat="1" ht="48.75" customHeight="1" x14ac:dyDescent="0.3">
      <c r="A2" s="40" t="s">
        <v>633</v>
      </c>
      <c r="B2" s="117" t="s">
        <v>18</v>
      </c>
      <c r="C2" s="118" t="s">
        <v>13</v>
      </c>
      <c r="D2" s="40" t="s">
        <v>607</v>
      </c>
      <c r="E2" s="122"/>
      <c r="F2" s="123"/>
      <c r="O2" s="40" t="s">
        <v>609</v>
      </c>
    </row>
    <row r="3" spans="1:18" x14ac:dyDescent="0.3">
      <c r="A3" s="40" t="s">
        <v>636</v>
      </c>
      <c r="B3" s="117" t="s">
        <v>18</v>
      </c>
      <c r="C3" s="118" t="s">
        <v>13</v>
      </c>
      <c r="D3" s="40" t="s">
        <v>690</v>
      </c>
      <c r="E3" s="122"/>
      <c r="F3" s="123"/>
      <c r="G3" s="40" t="s">
        <v>543</v>
      </c>
      <c r="H3" s="40" t="s">
        <v>635</v>
      </c>
      <c r="I3" s="40" t="s">
        <v>635</v>
      </c>
      <c r="J3" s="40" t="s">
        <v>638</v>
      </c>
      <c r="K3" s="40">
        <v>2</v>
      </c>
      <c r="L3" s="40" t="s">
        <v>645</v>
      </c>
      <c r="M3" s="40"/>
      <c r="N3" s="40"/>
      <c r="O3" s="40" t="s">
        <v>609</v>
      </c>
      <c r="P3" s="40"/>
      <c r="Q3" s="40"/>
    </row>
    <row r="4" spans="1:18" x14ac:dyDescent="0.3">
      <c r="A4" s="40" t="s">
        <v>649</v>
      </c>
      <c r="B4" s="117" t="s">
        <v>18</v>
      </c>
      <c r="C4" s="118" t="s">
        <v>13</v>
      </c>
      <c r="D4" s="40" t="s">
        <v>691</v>
      </c>
      <c r="E4" s="122"/>
      <c r="F4" s="123"/>
      <c r="G4" s="40" t="s">
        <v>543</v>
      </c>
      <c r="H4" s="40" t="s">
        <v>647</v>
      </c>
      <c r="I4" s="40" t="s">
        <v>647</v>
      </c>
      <c r="J4" s="40" t="s">
        <v>646</v>
      </c>
      <c r="K4">
        <v>2</v>
      </c>
      <c r="L4" s="40"/>
      <c r="M4" s="40" t="s">
        <v>69</v>
      </c>
      <c r="N4" s="40"/>
      <c r="O4" s="40" t="s">
        <v>648</v>
      </c>
    </row>
    <row r="5" spans="1:18" ht="57.6" x14ac:dyDescent="0.3">
      <c r="A5" s="40" t="s">
        <v>653</v>
      </c>
      <c r="B5" s="117" t="s">
        <v>18</v>
      </c>
      <c r="C5" s="118" t="s">
        <v>13</v>
      </c>
      <c r="D5" s="40" t="s">
        <v>692</v>
      </c>
      <c r="E5" s="122"/>
      <c r="F5" s="123"/>
      <c r="G5" s="40" t="s">
        <v>543</v>
      </c>
      <c r="H5" s="40" t="s">
        <v>647</v>
      </c>
      <c r="I5" s="40" t="s">
        <v>655</v>
      </c>
      <c r="J5" s="40" t="s">
        <v>654</v>
      </c>
      <c r="K5">
        <v>0</v>
      </c>
      <c r="M5" s="40" t="s">
        <v>69</v>
      </c>
      <c r="R5" s="40" t="s">
        <v>657</v>
      </c>
    </row>
    <row r="6" spans="1:18" ht="86.4" x14ac:dyDescent="0.3">
      <c r="A6" s="40" t="s">
        <v>656</v>
      </c>
      <c r="B6" s="117" t="s">
        <v>18</v>
      </c>
      <c r="C6" s="118" t="s">
        <v>13</v>
      </c>
      <c r="D6" s="40" t="s">
        <v>693</v>
      </c>
      <c r="E6" s="122"/>
      <c r="F6" s="123"/>
      <c r="G6" s="40" t="s">
        <v>543</v>
      </c>
      <c r="H6" s="40" t="s">
        <v>647</v>
      </c>
      <c r="I6" s="40" t="s">
        <v>658</v>
      </c>
      <c r="J6" s="40" t="s">
        <v>646</v>
      </c>
      <c r="K6">
        <v>1</v>
      </c>
      <c r="L6" s="40"/>
      <c r="M6" s="40" t="s">
        <v>610</v>
      </c>
      <c r="N6" s="40"/>
      <c r="O6" s="40" t="s">
        <v>648</v>
      </c>
      <c r="R6" s="40" t="s">
        <v>657</v>
      </c>
    </row>
    <row r="7" spans="1:18" ht="28.8" x14ac:dyDescent="0.3">
      <c r="A7" s="40" t="s">
        <v>660</v>
      </c>
      <c r="B7" s="119" t="s">
        <v>18</v>
      </c>
      <c r="C7" s="120" t="s">
        <v>13</v>
      </c>
      <c r="D7" s="40" t="s">
        <v>694</v>
      </c>
      <c r="E7" s="119" t="s">
        <v>18</v>
      </c>
      <c r="F7" s="124" t="s">
        <v>130</v>
      </c>
      <c r="G7" s="40" t="s">
        <v>543</v>
      </c>
      <c r="H7" s="40" t="s">
        <v>647</v>
      </c>
      <c r="I7" s="40" t="s">
        <v>647</v>
      </c>
      <c r="M7" s="40" t="s">
        <v>69</v>
      </c>
      <c r="R7" s="40"/>
    </row>
  </sheetData>
  <phoneticPr fontId="9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96AE-7C77-4F8F-8F79-83A8AA8DDE12}">
  <dimension ref="A1:R7"/>
  <sheetViews>
    <sheetView workbookViewId="0">
      <selection activeCell="R5" sqref="R5"/>
    </sheetView>
  </sheetViews>
  <sheetFormatPr defaultRowHeight="14.4" x14ac:dyDescent="0.3"/>
  <cols>
    <col min="1" max="1" width="13.88671875" customWidth="1"/>
    <col min="2" max="2" width="15.88671875" customWidth="1"/>
    <col min="3" max="3" width="21.33203125" customWidth="1"/>
    <col min="4" max="4" width="22.33203125" customWidth="1"/>
    <col min="5" max="14" width="16.33203125" customWidth="1"/>
    <col min="15" max="17" width="17.6640625" customWidth="1"/>
    <col min="18" max="18" width="21.109375" customWidth="1"/>
  </cols>
  <sheetData>
    <row r="1" spans="1:18" ht="29.4" thickBot="1" x14ac:dyDescent="0.35">
      <c r="A1" s="109" t="s">
        <v>22</v>
      </c>
      <c r="B1" s="115" t="s">
        <v>17</v>
      </c>
      <c r="C1" s="116" t="s">
        <v>41</v>
      </c>
      <c r="D1" s="114" t="s">
        <v>62</v>
      </c>
      <c r="E1" s="115" t="s">
        <v>661</v>
      </c>
      <c r="F1" s="121" t="s">
        <v>659</v>
      </c>
      <c r="G1" s="107" t="s">
        <v>634</v>
      </c>
      <c r="H1" s="107" t="s">
        <v>650</v>
      </c>
      <c r="I1" s="108" t="s">
        <v>639</v>
      </c>
      <c r="J1" s="110" t="s">
        <v>637</v>
      </c>
      <c r="K1" s="111" t="s">
        <v>642</v>
      </c>
      <c r="L1" s="113" t="s">
        <v>641</v>
      </c>
      <c r="M1" s="113" t="s">
        <v>651</v>
      </c>
      <c r="N1" s="112" t="s">
        <v>652</v>
      </c>
      <c r="O1" s="103" t="s">
        <v>640</v>
      </c>
      <c r="P1" s="103" t="s">
        <v>643</v>
      </c>
      <c r="Q1" s="103" t="s">
        <v>644</v>
      </c>
      <c r="R1" s="99" t="s">
        <v>81</v>
      </c>
    </row>
    <row r="2" spans="1:18" s="40" customFormat="1" ht="48.75" customHeight="1" x14ac:dyDescent="0.3">
      <c r="A2" s="40" t="s">
        <v>633</v>
      </c>
      <c r="B2" s="117" t="s">
        <v>18</v>
      </c>
      <c r="C2" s="118" t="s">
        <v>13</v>
      </c>
      <c r="D2" t="s">
        <v>717</v>
      </c>
      <c r="E2" s="122"/>
      <c r="F2" s="123"/>
      <c r="O2" s="40" t="s">
        <v>609</v>
      </c>
    </row>
    <row r="3" spans="1:18" x14ac:dyDescent="0.3">
      <c r="A3" s="40" t="s">
        <v>636</v>
      </c>
      <c r="B3" s="117" t="s">
        <v>18</v>
      </c>
      <c r="C3" s="118" t="s">
        <v>13</v>
      </c>
      <c r="D3" t="s">
        <v>718</v>
      </c>
      <c r="E3" s="122"/>
      <c r="F3" s="123"/>
      <c r="G3" s="40" t="s">
        <v>543</v>
      </c>
      <c r="H3" s="40" t="s">
        <v>635</v>
      </c>
      <c r="I3" s="40" t="s">
        <v>635</v>
      </c>
      <c r="J3" s="40" t="s">
        <v>638</v>
      </c>
      <c r="K3" s="40">
        <v>2</v>
      </c>
      <c r="L3" s="40" t="s">
        <v>645</v>
      </c>
      <c r="M3" s="40"/>
      <c r="N3" s="40"/>
      <c r="O3" s="40" t="s">
        <v>609</v>
      </c>
      <c r="P3" s="40"/>
      <c r="Q3" s="40"/>
    </row>
    <row r="4" spans="1:18" x14ac:dyDescent="0.3">
      <c r="A4" s="40" t="s">
        <v>649</v>
      </c>
      <c r="B4" s="117" t="s">
        <v>18</v>
      </c>
      <c r="C4" s="118" t="s">
        <v>13</v>
      </c>
      <c r="D4" t="s">
        <v>719</v>
      </c>
      <c r="E4" s="122"/>
      <c r="F4" s="123"/>
      <c r="G4" s="40" t="s">
        <v>543</v>
      </c>
      <c r="H4" s="40" t="s">
        <v>647</v>
      </c>
      <c r="I4" s="40" t="s">
        <v>647</v>
      </c>
      <c r="J4" s="40" t="s">
        <v>646</v>
      </c>
      <c r="K4">
        <v>2</v>
      </c>
      <c r="L4" s="40"/>
      <c r="M4" s="40" t="s">
        <v>69</v>
      </c>
      <c r="N4" s="40"/>
      <c r="O4" s="40" t="s">
        <v>648</v>
      </c>
    </row>
    <row r="5" spans="1:18" ht="57.6" x14ac:dyDescent="0.3">
      <c r="A5" s="40" t="s">
        <v>653</v>
      </c>
      <c r="B5" s="117" t="s">
        <v>18</v>
      </c>
      <c r="C5" s="118" t="s">
        <v>13</v>
      </c>
      <c r="D5" t="s">
        <v>720</v>
      </c>
      <c r="E5" s="122"/>
      <c r="F5" s="123"/>
      <c r="G5" s="40" t="s">
        <v>543</v>
      </c>
      <c r="H5" s="40" t="s">
        <v>647</v>
      </c>
      <c r="I5" s="40" t="s">
        <v>655</v>
      </c>
      <c r="J5" s="40" t="s">
        <v>654</v>
      </c>
      <c r="K5">
        <v>0</v>
      </c>
      <c r="M5" s="40" t="s">
        <v>69</v>
      </c>
      <c r="R5" s="40" t="s">
        <v>657</v>
      </c>
    </row>
    <row r="6" spans="1:18" ht="86.4" x14ac:dyDescent="0.3">
      <c r="A6" s="40" t="s">
        <v>656</v>
      </c>
      <c r="B6" s="117" t="s">
        <v>18</v>
      </c>
      <c r="C6" s="118" t="s">
        <v>13</v>
      </c>
      <c r="D6" t="s">
        <v>717</v>
      </c>
      <c r="E6" s="122"/>
      <c r="F6" s="123"/>
      <c r="G6" s="40" t="s">
        <v>543</v>
      </c>
      <c r="H6" s="40" t="s">
        <v>647</v>
      </c>
      <c r="I6" s="40" t="s">
        <v>658</v>
      </c>
      <c r="J6" s="40" t="s">
        <v>646</v>
      </c>
      <c r="K6">
        <v>1</v>
      </c>
      <c r="L6" s="40"/>
      <c r="M6" s="40" t="s">
        <v>610</v>
      </c>
      <c r="N6" s="40"/>
      <c r="O6" s="40" t="s">
        <v>648</v>
      </c>
      <c r="R6" s="40" t="s">
        <v>657</v>
      </c>
    </row>
    <row r="7" spans="1:18" ht="28.8" x14ac:dyDescent="0.3">
      <c r="A7" s="40" t="s">
        <v>660</v>
      </c>
      <c r="B7" s="119" t="s">
        <v>18</v>
      </c>
      <c r="C7" s="120" t="s">
        <v>13</v>
      </c>
      <c r="D7" t="s">
        <v>718</v>
      </c>
      <c r="E7" s="119" t="s">
        <v>18</v>
      </c>
      <c r="F7" s="124" t="s">
        <v>130</v>
      </c>
      <c r="G7" s="40" t="s">
        <v>543</v>
      </c>
      <c r="H7" s="40" t="s">
        <v>647</v>
      </c>
      <c r="I7" s="40" t="s">
        <v>647</v>
      </c>
      <c r="M7" s="40" t="s">
        <v>69</v>
      </c>
      <c r="R7" s="4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094B-7DE9-40B7-8AAD-F2D0AE3A5101}">
  <dimension ref="A1:R7"/>
  <sheetViews>
    <sheetView topLeftCell="B1" workbookViewId="0">
      <selection activeCell="E12" sqref="E12"/>
    </sheetView>
  </sheetViews>
  <sheetFormatPr defaultRowHeight="14.4" x14ac:dyDescent="0.3"/>
  <cols>
    <col min="1" max="18" width="21.77734375" customWidth="1"/>
  </cols>
  <sheetData>
    <row r="1" spans="1:18" ht="52.8" customHeight="1" thickBot="1" x14ac:dyDescent="0.35">
      <c r="A1" s="191" t="s">
        <v>22</v>
      </c>
      <c r="B1" s="192" t="s">
        <v>17</v>
      </c>
      <c r="C1" s="193" t="s">
        <v>41</v>
      </c>
      <c r="D1" s="184" t="s">
        <v>62</v>
      </c>
      <c r="E1" s="192" t="s">
        <v>661</v>
      </c>
      <c r="F1" s="193" t="s">
        <v>659</v>
      </c>
      <c r="G1" s="194" t="s">
        <v>634</v>
      </c>
      <c r="H1" s="194" t="s">
        <v>650</v>
      </c>
      <c r="I1" s="195" t="s">
        <v>639</v>
      </c>
      <c r="J1" s="180" t="s">
        <v>637</v>
      </c>
      <c r="K1" s="196" t="s">
        <v>642</v>
      </c>
      <c r="L1" s="197" t="s">
        <v>641</v>
      </c>
      <c r="M1" s="197" t="s">
        <v>651</v>
      </c>
      <c r="N1" s="198" t="s">
        <v>652</v>
      </c>
      <c r="O1" s="147" t="s">
        <v>640</v>
      </c>
      <c r="P1" s="147" t="s">
        <v>643</v>
      </c>
      <c r="Q1" s="147" t="s">
        <v>644</v>
      </c>
      <c r="R1" s="148" t="s">
        <v>81</v>
      </c>
    </row>
    <row r="2" spans="1:18" ht="52.8" customHeight="1" x14ac:dyDescent="0.3">
      <c r="A2" s="149" t="s">
        <v>633</v>
      </c>
      <c r="B2" s="199" t="s">
        <v>18</v>
      </c>
      <c r="C2" s="200" t="s">
        <v>13</v>
      </c>
      <c r="D2" s="149" t="s">
        <v>754</v>
      </c>
      <c r="E2" s="201"/>
      <c r="F2" s="202"/>
      <c r="G2" s="149"/>
      <c r="H2" s="149"/>
      <c r="I2" s="149"/>
      <c r="J2" s="149"/>
      <c r="K2" s="149"/>
      <c r="L2" s="149"/>
      <c r="M2" s="149"/>
      <c r="N2" s="149"/>
      <c r="O2" s="149" t="s">
        <v>609</v>
      </c>
      <c r="P2" s="149"/>
      <c r="Q2" s="149"/>
      <c r="R2" s="149"/>
    </row>
    <row r="3" spans="1:18" ht="52.8" customHeight="1" x14ac:dyDescent="0.3">
      <c r="A3" s="149" t="s">
        <v>636</v>
      </c>
      <c r="B3" s="199" t="s">
        <v>18</v>
      </c>
      <c r="C3" s="200" t="s">
        <v>13</v>
      </c>
      <c r="D3" s="149" t="s">
        <v>755</v>
      </c>
      <c r="E3" s="201"/>
      <c r="F3" s="202"/>
      <c r="G3" s="149" t="s">
        <v>543</v>
      </c>
      <c r="H3" s="149" t="s">
        <v>635</v>
      </c>
      <c r="I3" s="149" t="s">
        <v>635</v>
      </c>
      <c r="J3" s="149" t="s">
        <v>638</v>
      </c>
      <c r="K3" s="149">
        <v>2</v>
      </c>
      <c r="L3" s="149" t="s">
        <v>645</v>
      </c>
      <c r="M3" s="149"/>
      <c r="N3" s="149"/>
      <c r="O3" s="149" t="s">
        <v>609</v>
      </c>
      <c r="P3" s="149"/>
      <c r="Q3" s="149"/>
      <c r="R3" s="149"/>
    </row>
    <row r="4" spans="1:18" ht="52.8" customHeight="1" x14ac:dyDescent="0.3">
      <c r="A4" s="149" t="s">
        <v>649</v>
      </c>
      <c r="B4" s="199" t="s">
        <v>18</v>
      </c>
      <c r="C4" s="200" t="s">
        <v>13</v>
      </c>
      <c r="D4" s="149" t="s">
        <v>756</v>
      </c>
      <c r="E4" s="201"/>
      <c r="F4" s="202"/>
      <c r="G4" s="149" t="s">
        <v>543</v>
      </c>
      <c r="H4" s="149" t="s">
        <v>647</v>
      </c>
      <c r="I4" s="149" t="s">
        <v>647</v>
      </c>
      <c r="J4" s="149" t="s">
        <v>646</v>
      </c>
      <c r="K4" s="149">
        <v>2</v>
      </c>
      <c r="L4" s="149"/>
      <c r="M4" s="149" t="s">
        <v>69</v>
      </c>
      <c r="N4" s="149"/>
      <c r="O4" s="149" t="s">
        <v>648</v>
      </c>
      <c r="P4" s="149"/>
      <c r="Q4" s="149"/>
      <c r="R4" s="149"/>
    </row>
    <row r="5" spans="1:18" ht="52.8" customHeight="1" x14ac:dyDescent="0.3">
      <c r="A5" s="149" t="s">
        <v>653</v>
      </c>
      <c r="B5" s="199" t="s">
        <v>18</v>
      </c>
      <c r="C5" s="200" t="s">
        <v>13</v>
      </c>
      <c r="D5" s="149" t="s">
        <v>760</v>
      </c>
      <c r="E5" s="201"/>
      <c r="F5" s="202"/>
      <c r="G5" s="149" t="s">
        <v>543</v>
      </c>
      <c r="H5" s="149" t="s">
        <v>647</v>
      </c>
      <c r="I5" s="149" t="s">
        <v>797</v>
      </c>
      <c r="J5" s="149" t="s">
        <v>654</v>
      </c>
      <c r="K5" s="149">
        <v>0</v>
      </c>
      <c r="L5" s="149"/>
      <c r="M5" s="149" t="s">
        <v>69</v>
      </c>
      <c r="N5" s="149"/>
      <c r="O5" s="149"/>
      <c r="P5" s="149"/>
      <c r="Q5" s="149"/>
      <c r="R5" s="149" t="s">
        <v>657</v>
      </c>
    </row>
    <row r="6" spans="1:18" ht="52.8" customHeight="1" x14ac:dyDescent="0.3">
      <c r="A6" s="149" t="s">
        <v>656</v>
      </c>
      <c r="B6" s="199" t="s">
        <v>18</v>
      </c>
      <c r="C6" s="200" t="s">
        <v>13</v>
      </c>
      <c r="D6" s="149" t="s">
        <v>759</v>
      </c>
      <c r="E6" s="201"/>
      <c r="F6" s="202"/>
      <c r="G6" s="149" t="s">
        <v>543</v>
      </c>
      <c r="H6" s="149" t="s">
        <v>647</v>
      </c>
      <c r="I6" s="149" t="s">
        <v>798</v>
      </c>
      <c r="J6" s="149" t="s">
        <v>646</v>
      </c>
      <c r="K6" s="149">
        <v>1</v>
      </c>
      <c r="L6" s="149"/>
      <c r="M6" s="149" t="s">
        <v>610</v>
      </c>
      <c r="N6" s="149"/>
      <c r="O6" s="149" t="s">
        <v>648</v>
      </c>
      <c r="P6" s="149"/>
      <c r="Q6" s="149"/>
      <c r="R6" s="149" t="s">
        <v>657</v>
      </c>
    </row>
    <row r="7" spans="1:18" ht="52.8" customHeight="1" x14ac:dyDescent="0.3">
      <c r="A7" s="149" t="s">
        <v>660</v>
      </c>
      <c r="B7" s="203" t="s">
        <v>18</v>
      </c>
      <c r="C7" s="204" t="s">
        <v>13</v>
      </c>
      <c r="D7" s="149" t="s">
        <v>758</v>
      </c>
      <c r="E7" s="203" t="s">
        <v>18</v>
      </c>
      <c r="F7" s="205" t="s">
        <v>761</v>
      </c>
      <c r="G7" s="149" t="s">
        <v>543</v>
      </c>
      <c r="H7" s="149" t="s">
        <v>647</v>
      </c>
      <c r="I7" s="149" t="s">
        <v>647</v>
      </c>
      <c r="J7" s="149"/>
      <c r="K7" s="149"/>
      <c r="L7" s="149"/>
      <c r="M7" s="149" t="s">
        <v>69</v>
      </c>
      <c r="N7" s="149"/>
      <c r="O7" s="149"/>
      <c r="P7" s="149"/>
      <c r="Q7" s="149"/>
      <c r="R7" s="14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5115-50D7-429C-9980-7778DF17BA7D}">
  <dimension ref="A1:R7"/>
  <sheetViews>
    <sheetView workbookViewId="0">
      <selection activeCell="L22" sqref="L22"/>
    </sheetView>
  </sheetViews>
  <sheetFormatPr defaultRowHeight="14.4" x14ac:dyDescent="0.3"/>
  <cols>
    <col min="1" max="18" width="12.33203125" customWidth="1"/>
  </cols>
  <sheetData>
    <row r="1" spans="1:18" ht="58.2" thickBot="1" x14ac:dyDescent="0.35">
      <c r="A1" s="191" t="s">
        <v>22</v>
      </c>
      <c r="B1" s="192" t="s">
        <v>17</v>
      </c>
      <c r="C1" s="193" t="s">
        <v>41</v>
      </c>
      <c r="D1" s="184" t="s">
        <v>62</v>
      </c>
      <c r="E1" s="192" t="s">
        <v>661</v>
      </c>
      <c r="F1" s="193" t="s">
        <v>659</v>
      </c>
      <c r="G1" s="194" t="s">
        <v>634</v>
      </c>
      <c r="H1" s="194" t="s">
        <v>650</v>
      </c>
      <c r="I1" s="195" t="s">
        <v>639</v>
      </c>
      <c r="J1" s="180" t="s">
        <v>637</v>
      </c>
      <c r="K1" s="196" t="s">
        <v>642</v>
      </c>
      <c r="L1" s="197" t="s">
        <v>641</v>
      </c>
      <c r="M1" s="197" t="s">
        <v>651</v>
      </c>
      <c r="N1" s="198" t="s">
        <v>652</v>
      </c>
      <c r="O1" s="147" t="s">
        <v>640</v>
      </c>
      <c r="P1" s="147" t="s">
        <v>643</v>
      </c>
      <c r="Q1" s="147" t="s">
        <v>644</v>
      </c>
      <c r="R1" s="148" t="s">
        <v>81</v>
      </c>
    </row>
    <row r="2" spans="1:18" ht="54.6" customHeight="1" x14ac:dyDescent="0.3">
      <c r="A2" s="149" t="s">
        <v>633</v>
      </c>
      <c r="B2" s="199" t="s">
        <v>18</v>
      </c>
      <c r="C2" s="200" t="s">
        <v>13</v>
      </c>
      <c r="D2" s="149" t="s">
        <v>804</v>
      </c>
      <c r="E2" s="201"/>
      <c r="F2" s="202"/>
      <c r="G2" s="149"/>
      <c r="H2" s="149"/>
      <c r="I2" s="149"/>
      <c r="J2" s="149"/>
      <c r="K2" s="149"/>
      <c r="L2" s="149"/>
      <c r="M2" s="149"/>
      <c r="N2" s="149"/>
      <c r="O2" s="149" t="s">
        <v>609</v>
      </c>
      <c r="P2" s="149"/>
      <c r="Q2" s="149"/>
      <c r="R2" s="149"/>
    </row>
    <row r="3" spans="1:18" ht="54.6" customHeight="1" x14ac:dyDescent="0.3">
      <c r="A3" s="149" t="s">
        <v>636</v>
      </c>
      <c r="B3" s="199" t="s">
        <v>18</v>
      </c>
      <c r="C3" s="200" t="s">
        <v>13</v>
      </c>
      <c r="D3" s="149" t="s">
        <v>803</v>
      </c>
      <c r="E3" s="201"/>
      <c r="F3" s="202"/>
      <c r="G3" s="149" t="s">
        <v>543</v>
      </c>
      <c r="H3" s="149" t="s">
        <v>635</v>
      </c>
      <c r="I3" s="149" t="s">
        <v>635</v>
      </c>
      <c r="J3" s="149" t="s">
        <v>638</v>
      </c>
      <c r="K3" s="149">
        <v>2</v>
      </c>
      <c r="L3" s="149" t="s">
        <v>645</v>
      </c>
      <c r="M3" s="149"/>
      <c r="N3" s="149"/>
      <c r="O3" s="149" t="s">
        <v>609</v>
      </c>
      <c r="P3" s="149"/>
      <c r="Q3" s="149"/>
      <c r="R3" s="149"/>
    </row>
    <row r="4" spans="1:18" ht="54.6" customHeight="1" x14ac:dyDescent="0.3">
      <c r="A4" s="149" t="s">
        <v>649</v>
      </c>
      <c r="B4" s="199" t="s">
        <v>18</v>
      </c>
      <c r="C4" s="200" t="s">
        <v>13</v>
      </c>
      <c r="D4" s="149" t="s">
        <v>802</v>
      </c>
      <c r="E4" s="201"/>
      <c r="F4" s="202"/>
      <c r="G4" s="149" t="s">
        <v>543</v>
      </c>
      <c r="H4" s="149" t="s">
        <v>647</v>
      </c>
      <c r="I4" s="149" t="s">
        <v>647</v>
      </c>
      <c r="J4" s="149" t="s">
        <v>646</v>
      </c>
      <c r="K4" s="149">
        <v>2</v>
      </c>
      <c r="L4" s="149"/>
      <c r="M4" s="149" t="s">
        <v>69</v>
      </c>
      <c r="N4" s="149"/>
      <c r="O4" s="149" t="s">
        <v>648</v>
      </c>
      <c r="P4" s="149"/>
      <c r="Q4" s="149"/>
      <c r="R4" s="149"/>
    </row>
    <row r="5" spans="1:18" ht="54.6" customHeight="1" x14ac:dyDescent="0.3">
      <c r="A5" s="149" t="s">
        <v>653</v>
      </c>
      <c r="B5" s="199" t="s">
        <v>18</v>
      </c>
      <c r="C5" s="200" t="s">
        <v>13</v>
      </c>
      <c r="D5" s="149" t="s">
        <v>801</v>
      </c>
      <c r="E5" s="201"/>
      <c r="F5" s="202"/>
      <c r="G5" s="149" t="s">
        <v>543</v>
      </c>
      <c r="H5" s="149" t="s">
        <v>647</v>
      </c>
      <c r="I5" s="149" t="s">
        <v>655</v>
      </c>
      <c r="J5" s="149" t="s">
        <v>654</v>
      </c>
      <c r="K5" s="149">
        <v>0</v>
      </c>
      <c r="L5" s="149"/>
      <c r="M5" s="149" t="s">
        <v>69</v>
      </c>
      <c r="N5" s="149"/>
      <c r="O5" s="149"/>
      <c r="P5" s="149"/>
      <c r="Q5" s="149"/>
      <c r="R5" s="149" t="s">
        <v>657</v>
      </c>
    </row>
    <row r="6" spans="1:18" ht="54.6" customHeight="1" x14ac:dyDescent="0.3">
      <c r="A6" s="149" t="s">
        <v>656</v>
      </c>
      <c r="B6" s="199" t="s">
        <v>18</v>
      </c>
      <c r="C6" s="200" t="s">
        <v>13</v>
      </c>
      <c r="D6" s="149" t="s">
        <v>800</v>
      </c>
      <c r="E6" s="201"/>
      <c r="F6" s="202"/>
      <c r="G6" s="149" t="s">
        <v>543</v>
      </c>
      <c r="H6" s="149" t="s">
        <v>647</v>
      </c>
      <c r="I6" s="149" t="s">
        <v>658</v>
      </c>
      <c r="J6" s="149" t="s">
        <v>646</v>
      </c>
      <c r="K6" s="149">
        <v>1</v>
      </c>
      <c r="L6" s="149"/>
      <c r="M6" s="149" t="s">
        <v>610</v>
      </c>
      <c r="N6" s="149"/>
      <c r="O6" s="149" t="s">
        <v>648</v>
      </c>
      <c r="P6" s="149"/>
      <c r="Q6" s="149"/>
      <c r="R6" s="149" t="s">
        <v>657</v>
      </c>
    </row>
    <row r="7" spans="1:18" ht="54.6" customHeight="1" x14ac:dyDescent="0.3">
      <c r="A7" s="149" t="s">
        <v>660</v>
      </c>
      <c r="B7" s="203" t="s">
        <v>18</v>
      </c>
      <c r="C7" s="204" t="s">
        <v>13</v>
      </c>
      <c r="D7" s="149" t="s">
        <v>799</v>
      </c>
      <c r="E7" s="203" t="s">
        <v>18</v>
      </c>
      <c r="F7" s="205" t="s">
        <v>805</v>
      </c>
      <c r="G7" s="149" t="s">
        <v>543</v>
      </c>
      <c r="H7" s="149" t="s">
        <v>647</v>
      </c>
      <c r="I7" s="149" t="s">
        <v>647</v>
      </c>
      <c r="J7" s="149"/>
      <c r="K7" s="149"/>
      <c r="L7" s="149"/>
      <c r="M7" s="149" t="s">
        <v>69</v>
      </c>
      <c r="N7" s="149"/>
      <c r="O7" s="149"/>
      <c r="P7" s="149"/>
      <c r="Q7" s="149"/>
      <c r="R7" s="14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B7A4-54BB-4EBC-AD1D-7D71883A68C2}">
  <dimension ref="A1:A11"/>
  <sheetViews>
    <sheetView workbookViewId="0">
      <selection activeCell="T11" sqref="T11"/>
    </sheetView>
  </sheetViews>
  <sheetFormatPr defaultRowHeight="14.4" x14ac:dyDescent="0.3"/>
  <cols>
    <col min="1" max="1" width="51.6640625" customWidth="1"/>
  </cols>
  <sheetData>
    <row r="1" spans="1:1" ht="67.2" customHeight="1" x14ac:dyDescent="0.3">
      <c r="A1" s="40" t="s">
        <v>781</v>
      </c>
    </row>
    <row r="2" spans="1:1" ht="67.2" customHeight="1" x14ac:dyDescent="0.3">
      <c r="A2" s="40" t="s">
        <v>783</v>
      </c>
    </row>
    <row r="3" spans="1:1" ht="67.2" customHeight="1" x14ac:dyDescent="0.3">
      <c r="A3" s="40" t="s">
        <v>782</v>
      </c>
    </row>
    <row r="4" spans="1:1" ht="67.2" customHeight="1" x14ac:dyDescent="0.3">
      <c r="A4" s="40" t="s">
        <v>763</v>
      </c>
    </row>
    <row r="5" spans="1:1" ht="67.2" customHeight="1" x14ac:dyDescent="0.3">
      <c r="A5" s="40" t="s">
        <v>786</v>
      </c>
    </row>
    <row r="6" spans="1:1" ht="67.2" customHeight="1" x14ac:dyDescent="0.3">
      <c r="A6" s="40" t="s">
        <v>764</v>
      </c>
    </row>
    <row r="7" spans="1:1" ht="67.2" customHeight="1" x14ac:dyDescent="0.3">
      <c r="A7" s="40" t="s">
        <v>765</v>
      </c>
    </row>
    <row r="8" spans="1:1" ht="67.2" customHeight="1" x14ac:dyDescent="0.3">
      <c r="A8" s="40" t="s">
        <v>785</v>
      </c>
    </row>
    <row r="9" spans="1:1" ht="67.2" customHeight="1" x14ac:dyDescent="0.3">
      <c r="A9" s="40" t="s">
        <v>784</v>
      </c>
    </row>
    <row r="10" spans="1:1" ht="67.2" customHeight="1" x14ac:dyDescent="0.3">
      <c r="A10" s="40" t="s">
        <v>766</v>
      </c>
    </row>
    <row r="11" spans="1:1" ht="129.6" x14ac:dyDescent="0.3">
      <c r="A11" s="40" t="s">
        <v>767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9AED-720C-406D-975A-1C78D8477B02}">
  <dimension ref="A1:B11"/>
  <sheetViews>
    <sheetView workbookViewId="0">
      <selection activeCell="D6" sqref="D6"/>
    </sheetView>
  </sheetViews>
  <sheetFormatPr defaultRowHeight="14.4" x14ac:dyDescent="0.3"/>
  <cols>
    <col min="1" max="1" width="34.21875" customWidth="1"/>
    <col min="2" max="2" width="19.109375" customWidth="1"/>
  </cols>
  <sheetData>
    <row r="1" spans="1:2" ht="65.400000000000006" customHeight="1" x14ac:dyDescent="0.3">
      <c r="A1" s="40" t="s">
        <v>807</v>
      </c>
    </row>
    <row r="2" spans="1:2" ht="65.400000000000006" customHeight="1" x14ac:dyDescent="0.3">
      <c r="A2" s="40" t="s">
        <v>808</v>
      </c>
    </row>
    <row r="3" spans="1:2" ht="65.400000000000006" customHeight="1" x14ac:dyDescent="0.3">
      <c r="A3" s="40" t="s">
        <v>809</v>
      </c>
    </row>
    <row r="4" spans="1:2" ht="65.400000000000006" customHeight="1" x14ac:dyDescent="0.3">
      <c r="A4" s="40" t="s">
        <v>810</v>
      </c>
    </row>
    <row r="5" spans="1:2" ht="65.400000000000006" customHeight="1" x14ac:dyDescent="0.3">
      <c r="A5" s="40" t="s">
        <v>811</v>
      </c>
    </row>
    <row r="6" spans="1:2" ht="65.400000000000006" customHeight="1" x14ac:dyDescent="0.3">
      <c r="A6" s="40" t="s">
        <v>812</v>
      </c>
    </row>
    <row r="7" spans="1:2" ht="65.400000000000006" customHeight="1" x14ac:dyDescent="0.3">
      <c r="A7" s="40" t="s">
        <v>813</v>
      </c>
      <c r="B7" s="71"/>
    </row>
    <row r="8" spans="1:2" ht="65.400000000000006" customHeight="1" x14ac:dyDescent="0.3">
      <c r="A8" s="40" t="s">
        <v>814</v>
      </c>
    </row>
    <row r="9" spans="1:2" ht="65.400000000000006" customHeight="1" x14ac:dyDescent="0.3">
      <c r="A9" s="40" t="s">
        <v>815</v>
      </c>
    </row>
    <row r="10" spans="1:2" ht="144" x14ac:dyDescent="0.3">
      <c r="A10" s="40" t="s">
        <v>816</v>
      </c>
    </row>
    <row r="11" spans="1:2" ht="144" x14ac:dyDescent="0.3">
      <c r="A11" s="40" t="s">
        <v>817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0B2E-C071-41CB-A177-C9A72756EB3F}">
  <dimension ref="A1:Q24"/>
  <sheetViews>
    <sheetView workbookViewId="0">
      <selection activeCell="S18" sqref="S18"/>
    </sheetView>
  </sheetViews>
  <sheetFormatPr defaultRowHeight="14.4" x14ac:dyDescent="0.3"/>
  <cols>
    <col min="1" max="17" width="22.33203125" customWidth="1"/>
  </cols>
  <sheetData>
    <row r="1" spans="1:17" ht="43.8" customHeight="1" thickBot="1" x14ac:dyDescent="0.35">
      <c r="A1" s="174" t="s">
        <v>22</v>
      </c>
      <c r="B1" s="176" t="s">
        <v>17</v>
      </c>
      <c r="C1" s="177" t="s">
        <v>41</v>
      </c>
      <c r="D1" s="175" t="s">
        <v>62</v>
      </c>
      <c r="E1" s="206" t="s">
        <v>521</v>
      </c>
      <c r="F1" s="207" t="s">
        <v>518</v>
      </c>
      <c r="G1" s="206" t="s">
        <v>522</v>
      </c>
      <c r="H1" s="208" t="s">
        <v>519</v>
      </c>
      <c r="I1" s="206" t="s">
        <v>523</v>
      </c>
      <c r="J1" s="208" t="s">
        <v>520</v>
      </c>
      <c r="K1" s="206" t="s">
        <v>524</v>
      </c>
      <c r="L1" s="209" t="s">
        <v>19</v>
      </c>
      <c r="M1" s="144" t="s">
        <v>14</v>
      </c>
      <c r="N1" s="158" t="s">
        <v>27</v>
      </c>
      <c r="O1" s="159" t="s">
        <v>29</v>
      </c>
      <c r="P1" s="160" t="s">
        <v>28</v>
      </c>
      <c r="Q1" s="210" t="s">
        <v>81</v>
      </c>
    </row>
    <row r="2" spans="1:17" ht="115.2" customHeight="1" x14ac:dyDescent="0.3">
      <c r="A2" s="149" t="s">
        <v>598</v>
      </c>
      <c r="B2" s="150" t="s">
        <v>18</v>
      </c>
      <c r="C2" s="211" t="s">
        <v>530</v>
      </c>
      <c r="D2" s="149" t="s">
        <v>756</v>
      </c>
      <c r="E2" s="150" t="s">
        <v>43</v>
      </c>
      <c r="F2" s="149" t="s">
        <v>32</v>
      </c>
      <c r="G2" s="150"/>
      <c r="H2" s="149"/>
      <c r="I2" s="149"/>
      <c r="J2" s="149"/>
      <c r="K2" s="149"/>
      <c r="L2" s="149"/>
      <c r="M2" s="190" t="s">
        <v>73</v>
      </c>
      <c r="N2" s="166"/>
      <c r="O2" s="150"/>
      <c r="P2" s="150"/>
      <c r="Q2" s="149" t="s">
        <v>768</v>
      </c>
    </row>
    <row r="3" spans="1:17" x14ac:dyDescent="0.3">
      <c r="A3" s="149" t="s">
        <v>599</v>
      </c>
      <c r="B3" s="150" t="s">
        <v>18</v>
      </c>
      <c r="C3" s="212" t="s">
        <v>530</v>
      </c>
      <c r="D3" s="149" t="s">
        <v>755</v>
      </c>
      <c r="E3" s="150"/>
      <c r="F3" s="149"/>
      <c r="G3" s="150" t="s">
        <v>601</v>
      </c>
      <c r="H3" s="149" t="s">
        <v>602</v>
      </c>
      <c r="I3" s="149"/>
      <c r="J3" s="149"/>
      <c r="K3" s="149"/>
      <c r="L3" s="149"/>
      <c r="M3" s="190" t="s">
        <v>47</v>
      </c>
      <c r="N3" s="149"/>
      <c r="O3" s="149"/>
      <c r="P3" s="149"/>
      <c r="Q3" s="149"/>
    </row>
    <row r="4" spans="1:17" x14ac:dyDescent="0.3">
      <c r="A4" s="222" t="s">
        <v>600</v>
      </c>
      <c r="B4" s="223" t="s">
        <v>18</v>
      </c>
      <c r="C4" s="224" t="s">
        <v>530</v>
      </c>
      <c r="D4" s="222" t="s">
        <v>754</v>
      </c>
      <c r="E4" s="223"/>
      <c r="F4" s="222"/>
      <c r="G4" s="222"/>
      <c r="H4" s="222"/>
      <c r="I4" s="222" t="s">
        <v>665</v>
      </c>
      <c r="J4" s="222" t="s">
        <v>534</v>
      </c>
      <c r="K4" s="222"/>
      <c r="L4" s="222"/>
      <c r="M4" s="227" t="s">
        <v>604</v>
      </c>
      <c r="N4" s="222"/>
      <c r="O4" s="222"/>
      <c r="P4" s="222"/>
      <c r="Q4" s="225" t="s">
        <v>769</v>
      </c>
    </row>
    <row r="5" spans="1:17" x14ac:dyDescent="0.3">
      <c r="A5" s="222"/>
      <c r="B5" s="223"/>
      <c r="C5" s="224"/>
      <c r="D5" s="222"/>
      <c r="E5" s="223"/>
      <c r="F5" s="222"/>
      <c r="G5" s="222"/>
      <c r="H5" s="222"/>
      <c r="I5" s="222"/>
      <c r="J5" s="222"/>
      <c r="K5" s="222"/>
      <c r="L5" s="222"/>
      <c r="M5" s="227"/>
      <c r="N5" s="222"/>
      <c r="O5" s="222"/>
      <c r="P5" s="222"/>
      <c r="Q5" s="226"/>
    </row>
    <row r="6" spans="1:17" x14ac:dyDescent="0.3">
      <c r="A6" s="222"/>
      <c r="B6" s="223"/>
      <c r="C6" s="224"/>
      <c r="D6" s="222"/>
      <c r="E6" s="223"/>
      <c r="F6" s="222"/>
      <c r="G6" s="222"/>
      <c r="H6" s="222"/>
      <c r="I6" s="222"/>
      <c r="J6" s="222"/>
      <c r="K6" s="222"/>
      <c r="L6" s="222"/>
      <c r="M6" s="227"/>
      <c r="N6" s="222"/>
      <c r="O6" s="222"/>
      <c r="P6" s="222"/>
      <c r="Q6" s="226"/>
    </row>
    <row r="7" spans="1:17" x14ac:dyDescent="0.3">
      <c r="A7" s="222"/>
      <c r="B7" s="223"/>
      <c r="C7" s="224"/>
      <c r="D7" s="222"/>
      <c r="E7" s="223"/>
      <c r="F7" s="222"/>
      <c r="G7" s="222"/>
      <c r="H7" s="222"/>
      <c r="I7" s="222"/>
      <c r="J7" s="222"/>
      <c r="K7" s="222"/>
      <c r="L7" s="222"/>
      <c r="M7" s="227"/>
      <c r="N7" s="222"/>
      <c r="O7" s="222"/>
      <c r="P7" s="222"/>
      <c r="Q7" s="226"/>
    </row>
    <row r="8" spans="1:17" x14ac:dyDescent="0.3">
      <c r="A8" s="222"/>
      <c r="B8" s="223"/>
      <c r="C8" s="224"/>
      <c r="D8" s="222"/>
      <c r="E8" s="223"/>
      <c r="F8" s="222"/>
      <c r="G8" s="222"/>
      <c r="H8" s="222"/>
      <c r="I8" s="222"/>
      <c r="J8" s="222"/>
      <c r="K8" s="222"/>
      <c r="L8" s="222"/>
      <c r="M8" s="227"/>
      <c r="N8" s="222"/>
      <c r="O8" s="222"/>
      <c r="P8" s="222"/>
      <c r="Q8" s="226"/>
    </row>
    <row r="9" spans="1:17" x14ac:dyDescent="0.3">
      <c r="A9" s="222"/>
      <c r="B9" s="223"/>
      <c r="C9" s="224"/>
      <c r="D9" s="222"/>
      <c r="E9" s="223"/>
      <c r="F9" s="222"/>
      <c r="G9" s="222"/>
      <c r="H9" s="222"/>
      <c r="I9" s="222"/>
      <c r="J9" s="222"/>
      <c r="K9" s="222"/>
      <c r="L9" s="222"/>
      <c r="M9" s="227"/>
      <c r="N9" s="222"/>
      <c r="O9" s="222"/>
      <c r="P9" s="222"/>
      <c r="Q9" s="226"/>
    </row>
    <row r="10" spans="1:17" x14ac:dyDescent="0.3">
      <c r="A10" s="222"/>
      <c r="B10" s="223"/>
      <c r="C10" s="224"/>
      <c r="D10" s="222"/>
      <c r="E10" s="223"/>
      <c r="F10" s="222"/>
      <c r="G10" s="222"/>
      <c r="H10" s="222"/>
      <c r="I10" s="222"/>
      <c r="J10" s="222"/>
      <c r="K10" s="222"/>
      <c r="L10" s="222"/>
      <c r="M10" s="227"/>
      <c r="N10" s="222"/>
      <c r="O10" s="222"/>
      <c r="P10" s="222"/>
      <c r="Q10" s="226"/>
    </row>
    <row r="11" spans="1:17" x14ac:dyDescent="0.3">
      <c r="A11" s="222"/>
      <c r="B11" s="223"/>
      <c r="C11" s="224"/>
      <c r="D11" s="222"/>
      <c r="E11" s="223"/>
      <c r="F11" s="222"/>
      <c r="G11" s="222"/>
      <c r="H11" s="222"/>
      <c r="I11" s="222"/>
      <c r="J11" s="222"/>
      <c r="K11" s="222"/>
      <c r="L11" s="222"/>
      <c r="M11" s="227"/>
      <c r="N11" s="222"/>
      <c r="O11" s="222"/>
      <c r="P11" s="222"/>
      <c r="Q11" s="226"/>
    </row>
    <row r="12" spans="1:17" x14ac:dyDescent="0.3">
      <c r="A12" s="222"/>
      <c r="B12" s="223"/>
      <c r="C12" s="224"/>
      <c r="D12" s="222"/>
      <c r="E12" s="223"/>
      <c r="F12" s="222"/>
      <c r="G12" s="222"/>
      <c r="H12" s="222"/>
      <c r="I12" s="222"/>
      <c r="J12" s="222"/>
      <c r="K12" s="222"/>
      <c r="L12" s="222"/>
      <c r="M12" s="227"/>
      <c r="N12" s="222"/>
      <c r="O12" s="222"/>
      <c r="P12" s="222"/>
      <c r="Q12" s="226"/>
    </row>
    <row r="13" spans="1:17" x14ac:dyDescent="0.3">
      <c r="A13" s="222"/>
      <c r="B13" s="223"/>
      <c r="C13" s="224"/>
      <c r="D13" s="222"/>
      <c r="E13" s="223"/>
      <c r="F13" s="222"/>
      <c r="G13" s="222"/>
      <c r="H13" s="222"/>
      <c r="I13" s="222"/>
      <c r="J13" s="222"/>
      <c r="K13" s="222"/>
      <c r="L13" s="222"/>
      <c r="M13" s="227"/>
      <c r="N13" s="222"/>
      <c r="O13" s="222"/>
      <c r="P13" s="222"/>
      <c r="Q13" s="226"/>
    </row>
    <row r="14" spans="1:17" x14ac:dyDescent="0.3">
      <c r="A14" s="149" t="s">
        <v>603</v>
      </c>
      <c r="B14" s="150" t="s">
        <v>18</v>
      </c>
      <c r="C14" s="212" t="s">
        <v>530</v>
      </c>
      <c r="D14" s="149" t="s">
        <v>758</v>
      </c>
      <c r="E14" s="150"/>
      <c r="F14" s="149"/>
      <c r="G14" s="149"/>
      <c r="H14" s="149"/>
      <c r="I14" s="149"/>
      <c r="J14" s="149"/>
      <c r="K14" s="149" t="s">
        <v>665</v>
      </c>
      <c r="L14" s="149" t="s">
        <v>61</v>
      </c>
      <c r="M14" s="190" t="s">
        <v>605</v>
      </c>
      <c r="N14" s="149"/>
      <c r="O14" s="149"/>
      <c r="P14" s="149"/>
    </row>
    <row r="15" spans="1:17" x14ac:dyDescent="0.3">
      <c r="A15" s="149" t="s">
        <v>667</v>
      </c>
      <c r="B15" s="150" t="s">
        <v>18</v>
      </c>
      <c r="C15" s="212" t="s">
        <v>530</v>
      </c>
      <c r="D15" s="149" t="s">
        <v>759</v>
      </c>
      <c r="E15" s="150" t="s">
        <v>43</v>
      </c>
      <c r="F15" s="149" t="s">
        <v>32</v>
      </c>
      <c r="G15" s="150" t="s">
        <v>601</v>
      </c>
      <c r="H15" s="149" t="s">
        <v>668</v>
      </c>
      <c r="I15" s="149" t="s">
        <v>665</v>
      </c>
      <c r="J15" s="149" t="s">
        <v>534</v>
      </c>
      <c r="K15" s="149" t="s">
        <v>665</v>
      </c>
      <c r="L15" s="149" t="s">
        <v>61</v>
      </c>
      <c r="M15" s="190" t="s">
        <v>669</v>
      </c>
      <c r="N15" s="149"/>
      <c r="O15" s="149"/>
      <c r="P15" s="149"/>
      <c r="Q15" s="149"/>
    </row>
    <row r="16" spans="1:17" x14ac:dyDescent="0.3">
      <c r="A16" s="222" t="s">
        <v>670</v>
      </c>
      <c r="B16" s="223" t="s">
        <v>18</v>
      </c>
      <c r="C16" s="224" t="s">
        <v>530</v>
      </c>
      <c r="D16" s="222" t="s">
        <v>760</v>
      </c>
      <c r="E16" s="222"/>
      <c r="F16" s="222"/>
      <c r="G16" s="223" t="s">
        <v>601</v>
      </c>
      <c r="H16" s="222" t="s">
        <v>668</v>
      </c>
      <c r="I16" s="222"/>
      <c r="J16" s="222"/>
      <c r="K16" s="222"/>
      <c r="L16" s="222"/>
      <c r="M16" s="227" t="s">
        <v>605</v>
      </c>
      <c r="N16" s="222" t="s">
        <v>671</v>
      </c>
      <c r="O16" s="228" t="s">
        <v>672</v>
      </c>
      <c r="P16" s="223">
        <v>0</v>
      </c>
      <c r="Q16" s="225" t="s">
        <v>770</v>
      </c>
    </row>
    <row r="17" spans="1:17" x14ac:dyDescent="0.3">
      <c r="A17" s="222"/>
      <c r="B17" s="223"/>
      <c r="C17" s="224"/>
      <c r="D17" s="222"/>
      <c r="E17" s="222"/>
      <c r="F17" s="222"/>
      <c r="G17" s="223"/>
      <c r="H17" s="222"/>
      <c r="I17" s="222"/>
      <c r="J17" s="222"/>
      <c r="K17" s="222"/>
      <c r="L17" s="222"/>
      <c r="M17" s="227"/>
      <c r="N17" s="222"/>
      <c r="O17" s="228"/>
      <c r="P17" s="223"/>
      <c r="Q17" s="226"/>
    </row>
    <row r="18" spans="1:17" x14ac:dyDescent="0.3">
      <c r="A18" s="222"/>
      <c r="B18" s="223"/>
      <c r="C18" s="224"/>
      <c r="D18" s="222"/>
      <c r="E18" s="222"/>
      <c r="F18" s="222"/>
      <c r="G18" s="223"/>
      <c r="H18" s="222"/>
      <c r="I18" s="222"/>
      <c r="J18" s="222"/>
      <c r="K18" s="222"/>
      <c r="L18" s="222"/>
      <c r="M18" s="227"/>
      <c r="N18" s="222"/>
      <c r="O18" s="228"/>
      <c r="P18" s="223"/>
      <c r="Q18" s="226"/>
    </row>
    <row r="19" spans="1:17" x14ac:dyDescent="0.3">
      <c r="A19" s="222"/>
      <c r="B19" s="223"/>
      <c r="C19" s="224"/>
      <c r="D19" s="222"/>
      <c r="E19" s="222"/>
      <c r="F19" s="222"/>
      <c r="G19" s="223"/>
      <c r="H19" s="222"/>
      <c r="I19" s="222"/>
      <c r="J19" s="222"/>
      <c r="K19" s="222"/>
      <c r="L19" s="222"/>
      <c r="M19" s="227"/>
      <c r="N19" s="222"/>
      <c r="O19" s="228"/>
      <c r="P19" s="223"/>
      <c r="Q19" s="226"/>
    </row>
    <row r="20" spans="1:17" x14ac:dyDescent="0.3">
      <c r="A20" s="222"/>
      <c r="B20" s="223"/>
      <c r="C20" s="224"/>
      <c r="D20" s="222"/>
      <c r="E20" s="222"/>
      <c r="F20" s="222"/>
      <c r="G20" s="223"/>
      <c r="H20" s="222"/>
      <c r="I20" s="222"/>
      <c r="J20" s="222"/>
      <c r="K20" s="222"/>
      <c r="L20" s="222"/>
      <c r="M20" s="227"/>
      <c r="N20" s="222"/>
      <c r="O20" s="228"/>
      <c r="P20" s="223"/>
      <c r="Q20" s="226"/>
    </row>
    <row r="21" spans="1:17" x14ac:dyDescent="0.3">
      <c r="A21" s="222"/>
      <c r="B21" s="223"/>
      <c r="C21" s="224"/>
      <c r="D21" s="222"/>
      <c r="E21" s="222"/>
      <c r="F21" s="222"/>
      <c r="G21" s="223"/>
      <c r="H21" s="222"/>
      <c r="I21" s="222"/>
      <c r="J21" s="222"/>
      <c r="K21" s="222"/>
      <c r="L21" s="222"/>
      <c r="M21" s="227"/>
      <c r="N21" s="222"/>
      <c r="O21" s="228"/>
      <c r="P21" s="223"/>
      <c r="Q21" s="226"/>
    </row>
    <row r="22" spans="1:17" x14ac:dyDescent="0.3">
      <c r="A22" s="222"/>
      <c r="B22" s="223"/>
      <c r="C22" s="224"/>
      <c r="D22" s="222"/>
      <c r="E22" s="222"/>
      <c r="F22" s="222"/>
      <c r="G22" s="223"/>
      <c r="H22" s="222"/>
      <c r="I22" s="222"/>
      <c r="J22" s="222"/>
      <c r="K22" s="222"/>
      <c r="L22" s="222"/>
      <c r="M22" s="227"/>
      <c r="N22" s="222"/>
      <c r="O22" s="228"/>
      <c r="P22" s="223"/>
      <c r="Q22" s="226"/>
    </row>
    <row r="23" spans="1:17" x14ac:dyDescent="0.3">
      <c r="A23" s="222"/>
      <c r="B23" s="223"/>
      <c r="C23" s="224"/>
      <c r="D23" s="222"/>
      <c r="E23" s="222"/>
      <c r="F23" s="222"/>
      <c r="G23" s="223"/>
      <c r="H23" s="222"/>
      <c r="I23" s="222"/>
      <c r="J23" s="222"/>
      <c r="K23" s="222"/>
      <c r="L23" s="222"/>
      <c r="M23" s="227"/>
      <c r="N23" s="222"/>
      <c r="O23" s="228"/>
      <c r="P23" s="223"/>
      <c r="Q23" s="226"/>
    </row>
    <row r="24" spans="1:17" x14ac:dyDescent="0.3">
      <c r="A24" s="149" t="s">
        <v>674</v>
      </c>
      <c r="B24" s="150" t="s">
        <v>18</v>
      </c>
      <c r="C24" s="212" t="s">
        <v>530</v>
      </c>
      <c r="D24" s="149" t="s">
        <v>756</v>
      </c>
      <c r="E24" s="149"/>
      <c r="F24" s="149"/>
      <c r="G24" s="149"/>
      <c r="H24" s="149"/>
      <c r="I24" s="149" t="s">
        <v>665</v>
      </c>
      <c r="J24" s="149" t="s">
        <v>534</v>
      </c>
      <c r="K24" s="149"/>
      <c r="L24" s="149"/>
      <c r="M24" s="190" t="s">
        <v>604</v>
      </c>
      <c r="N24" s="149" t="s">
        <v>675</v>
      </c>
      <c r="O24" s="149" t="s">
        <v>676</v>
      </c>
      <c r="P24" s="149">
        <v>100</v>
      </c>
      <c r="Q24" s="149"/>
    </row>
  </sheetData>
  <mergeCells count="34">
    <mergeCell ref="Q4:Q13"/>
    <mergeCell ref="Q16:Q23"/>
    <mergeCell ref="K16:K23"/>
    <mergeCell ref="M16:M23"/>
    <mergeCell ref="N16:N23"/>
    <mergeCell ref="O16:O23"/>
    <mergeCell ref="P16:P23"/>
    <mergeCell ref="L16:L23"/>
    <mergeCell ref="M4:M13"/>
    <mergeCell ref="N4:N13"/>
    <mergeCell ref="O4:O13"/>
    <mergeCell ref="P4:P13"/>
    <mergeCell ref="K4:K13"/>
    <mergeCell ref="L4:L13"/>
    <mergeCell ref="A16:A23"/>
    <mergeCell ref="B16:B23"/>
    <mergeCell ref="C16:C23"/>
    <mergeCell ref="D16:D23"/>
    <mergeCell ref="E16:E23"/>
    <mergeCell ref="F16:F23"/>
    <mergeCell ref="G4:G13"/>
    <mergeCell ref="H4:H13"/>
    <mergeCell ref="I4:I13"/>
    <mergeCell ref="J4:J13"/>
    <mergeCell ref="G16:G23"/>
    <mergeCell ref="H16:H23"/>
    <mergeCell ref="I16:I23"/>
    <mergeCell ref="J16:J23"/>
    <mergeCell ref="F4:F13"/>
    <mergeCell ref="A4:A13"/>
    <mergeCell ref="B4:B13"/>
    <mergeCell ref="C4:C13"/>
    <mergeCell ref="D4:D13"/>
    <mergeCell ref="E4:E13"/>
  </mergeCells>
  <hyperlinks>
    <hyperlink ref="C3" r:id="rId1" display="https://gdtusa--intqa--stratavar.sandbox.vf.force.com/a06WD00000FOWqwYAH" xr:uid="{03A81E10-E98D-4A44-A88E-7214DB51131C}"/>
    <hyperlink ref="C4" r:id="rId2" display="https://gdtusa--intqa--stratavar.sandbox.vf.force.com/a06WD00000FOWqwYAH" xr:uid="{14422729-49E6-49AD-8605-80E4C5C7E55F}"/>
    <hyperlink ref="C14" r:id="rId3" display="https://gdtusa--intqa--stratavar.sandbox.vf.force.com/a06WD00000FOWqwYAH" xr:uid="{2FC4360C-1552-47F8-B9C8-B39879B61C31}"/>
    <hyperlink ref="C15" r:id="rId4" display="https://gdtusa--intqa--stratavar.sandbox.vf.force.com/a06WD00000FOWqwYAH" xr:uid="{75115A26-DA3D-4B08-9B54-8997D46F8308}"/>
    <hyperlink ref="C16" r:id="rId5" display="https://gdtusa--intqa--stratavar.sandbox.vf.force.com/a06WD00000FOWqwYAH" xr:uid="{9A92E024-0DA4-4B21-B70B-D707E81E74AA}"/>
    <hyperlink ref="C24" r:id="rId6" display="https://gdtusa--intqa--stratavar.sandbox.vf.force.com/a06WD00000FOWqwYAH" xr:uid="{1CD79A68-4D2C-4457-AB50-9CCEAA751C4A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46D7-1E54-4AB4-B92A-7DFFD340435D}">
  <dimension ref="A1:Q8"/>
  <sheetViews>
    <sheetView workbookViewId="0">
      <selection activeCell="P16" sqref="P16"/>
    </sheetView>
  </sheetViews>
  <sheetFormatPr defaultRowHeight="14.4" x14ac:dyDescent="0.3"/>
  <cols>
    <col min="1" max="1" width="20.6640625" customWidth="1"/>
    <col min="2" max="2" width="19.21875" customWidth="1"/>
    <col min="3" max="17" width="17.77734375" customWidth="1"/>
  </cols>
  <sheetData>
    <row r="1" spans="1:17" ht="43.8" thickBot="1" x14ac:dyDescent="0.35">
      <c r="A1" s="174" t="s">
        <v>22</v>
      </c>
      <c r="B1" s="176" t="s">
        <v>17</v>
      </c>
      <c r="C1" s="177" t="s">
        <v>41</v>
      </c>
      <c r="D1" s="175" t="s">
        <v>62</v>
      </c>
      <c r="E1" s="206" t="s">
        <v>521</v>
      </c>
      <c r="F1" s="207" t="s">
        <v>518</v>
      </c>
      <c r="G1" s="206" t="s">
        <v>522</v>
      </c>
      <c r="H1" s="208" t="s">
        <v>519</v>
      </c>
      <c r="I1" s="206" t="s">
        <v>523</v>
      </c>
      <c r="J1" s="208" t="s">
        <v>520</v>
      </c>
      <c r="K1" s="206" t="s">
        <v>524</v>
      </c>
      <c r="L1" s="209" t="s">
        <v>19</v>
      </c>
      <c r="M1" s="144" t="s">
        <v>14</v>
      </c>
      <c r="N1" s="158" t="s">
        <v>27</v>
      </c>
      <c r="O1" s="159" t="s">
        <v>29</v>
      </c>
      <c r="P1" s="160" t="s">
        <v>28</v>
      </c>
      <c r="Q1" s="210" t="s">
        <v>81</v>
      </c>
    </row>
    <row r="2" spans="1:17" ht="48" customHeight="1" x14ac:dyDescent="0.3">
      <c r="A2" s="149" t="s">
        <v>598</v>
      </c>
      <c r="B2" s="150" t="s">
        <v>18</v>
      </c>
      <c r="C2" s="211" t="s">
        <v>530</v>
      </c>
      <c r="D2" s="149" t="s">
        <v>804</v>
      </c>
      <c r="E2" s="150" t="s">
        <v>43</v>
      </c>
      <c r="F2" s="149" t="s">
        <v>32</v>
      </c>
      <c r="G2" s="150"/>
      <c r="H2" s="149"/>
      <c r="I2" s="149"/>
      <c r="J2" s="149"/>
      <c r="K2" s="149"/>
      <c r="L2" s="149"/>
      <c r="M2" s="190" t="s">
        <v>73</v>
      </c>
      <c r="N2" s="166"/>
      <c r="O2" s="150"/>
      <c r="P2" s="150"/>
      <c r="Q2" s="149" t="s">
        <v>768</v>
      </c>
    </row>
    <row r="3" spans="1:17" ht="48" customHeight="1" x14ac:dyDescent="0.3">
      <c r="A3" s="149" t="s">
        <v>599</v>
      </c>
      <c r="B3" s="150" t="s">
        <v>18</v>
      </c>
      <c r="C3" s="212" t="s">
        <v>530</v>
      </c>
      <c r="D3" s="149" t="s">
        <v>803</v>
      </c>
      <c r="E3" s="150"/>
      <c r="F3" s="149"/>
      <c r="G3" s="150" t="s">
        <v>601</v>
      </c>
      <c r="H3" s="149" t="s">
        <v>602</v>
      </c>
      <c r="I3" s="149"/>
      <c r="J3" s="149"/>
      <c r="K3" s="149"/>
      <c r="L3" s="149"/>
      <c r="M3" s="190" t="s">
        <v>47</v>
      </c>
      <c r="N3" s="149"/>
      <c r="O3" s="149"/>
      <c r="P3" s="149"/>
      <c r="Q3" s="149"/>
    </row>
    <row r="4" spans="1:17" ht="48" customHeight="1" x14ac:dyDescent="0.3">
      <c r="A4" s="149" t="s">
        <v>600</v>
      </c>
      <c r="B4" s="149" t="s">
        <v>18</v>
      </c>
      <c r="C4" s="212" t="s">
        <v>530</v>
      </c>
      <c r="D4" s="149" t="s">
        <v>802</v>
      </c>
      <c r="E4" s="149"/>
      <c r="F4" s="149"/>
      <c r="G4" s="149"/>
      <c r="H4" s="149"/>
      <c r="I4" s="149" t="s">
        <v>665</v>
      </c>
      <c r="J4" s="149" t="s">
        <v>534</v>
      </c>
      <c r="K4" s="149"/>
      <c r="L4" s="149"/>
      <c r="M4" s="190" t="s">
        <v>604</v>
      </c>
      <c r="N4" s="149"/>
      <c r="O4" s="149"/>
      <c r="P4" s="149"/>
      <c r="Q4" s="221" t="s">
        <v>769</v>
      </c>
    </row>
    <row r="5" spans="1:17" ht="48" customHeight="1" x14ac:dyDescent="0.3">
      <c r="A5" s="149" t="s">
        <v>603</v>
      </c>
      <c r="B5" s="150" t="s">
        <v>18</v>
      </c>
      <c r="C5" s="212" t="s">
        <v>530</v>
      </c>
      <c r="D5" s="149" t="s">
        <v>801</v>
      </c>
      <c r="E5" s="150"/>
      <c r="F5" s="149"/>
      <c r="G5" s="149"/>
      <c r="H5" s="149"/>
      <c r="I5" s="149"/>
      <c r="J5" s="149"/>
      <c r="K5" s="149" t="s">
        <v>665</v>
      </c>
      <c r="L5" s="149" t="s">
        <v>61</v>
      </c>
      <c r="M5" s="190" t="s">
        <v>605</v>
      </c>
      <c r="N5" s="149"/>
      <c r="O5" s="149"/>
      <c r="P5" s="149"/>
      <c r="Q5" s="149"/>
    </row>
    <row r="6" spans="1:17" ht="48" customHeight="1" x14ac:dyDescent="0.3">
      <c r="A6" s="149" t="s">
        <v>667</v>
      </c>
      <c r="B6" s="150" t="s">
        <v>18</v>
      </c>
      <c r="C6" s="212" t="s">
        <v>530</v>
      </c>
      <c r="D6" s="149" t="s">
        <v>800</v>
      </c>
      <c r="E6" s="150" t="s">
        <v>43</v>
      </c>
      <c r="F6" s="149" t="s">
        <v>32</v>
      </c>
      <c r="G6" s="150" t="s">
        <v>601</v>
      </c>
      <c r="H6" s="149" t="s">
        <v>668</v>
      </c>
      <c r="I6" s="149" t="s">
        <v>665</v>
      </c>
      <c r="J6" s="149" t="s">
        <v>534</v>
      </c>
      <c r="K6" s="149" t="s">
        <v>665</v>
      </c>
      <c r="L6" s="149" t="s">
        <v>61</v>
      </c>
      <c r="M6" s="190" t="s">
        <v>669</v>
      </c>
      <c r="N6" s="149"/>
      <c r="O6" s="149"/>
      <c r="P6" s="149"/>
    </row>
    <row r="7" spans="1:17" ht="48" customHeight="1" x14ac:dyDescent="0.3">
      <c r="A7" s="149" t="s">
        <v>670</v>
      </c>
      <c r="B7" s="149" t="s">
        <v>18</v>
      </c>
      <c r="C7" s="212" t="s">
        <v>530</v>
      </c>
      <c r="D7" s="149" t="s">
        <v>799</v>
      </c>
      <c r="E7" s="149"/>
      <c r="F7" s="149"/>
      <c r="G7" s="149" t="s">
        <v>601</v>
      </c>
      <c r="H7" s="149" t="s">
        <v>668</v>
      </c>
      <c r="I7" s="149"/>
      <c r="J7" s="149"/>
      <c r="K7" s="149"/>
      <c r="L7" s="149"/>
      <c r="M7" s="190" t="s">
        <v>605</v>
      </c>
      <c r="N7" s="149" t="s">
        <v>671</v>
      </c>
      <c r="O7" s="220" t="s">
        <v>672</v>
      </c>
      <c r="P7" s="149">
        <v>0</v>
      </c>
      <c r="Q7" s="149" t="s">
        <v>770</v>
      </c>
    </row>
    <row r="8" spans="1:17" ht="48" customHeight="1" x14ac:dyDescent="0.3">
      <c r="A8" s="149" t="s">
        <v>674</v>
      </c>
      <c r="B8" s="150" t="s">
        <v>18</v>
      </c>
      <c r="C8" s="212" t="s">
        <v>530</v>
      </c>
      <c r="D8" s="149" t="s">
        <v>804</v>
      </c>
      <c r="E8" s="149"/>
      <c r="F8" s="149"/>
      <c r="G8" s="149"/>
      <c r="H8" s="149"/>
      <c r="I8" s="149" t="s">
        <v>665</v>
      </c>
      <c r="J8" s="149" t="s">
        <v>534</v>
      </c>
      <c r="K8" s="149"/>
      <c r="L8" s="149"/>
      <c r="M8" s="190" t="s">
        <v>604</v>
      </c>
      <c r="N8" s="149" t="s">
        <v>675</v>
      </c>
      <c r="O8" s="149" t="s">
        <v>676</v>
      </c>
      <c r="P8" s="149">
        <v>100</v>
      </c>
      <c r="Q8" s="149"/>
    </row>
  </sheetData>
  <hyperlinks>
    <hyperlink ref="C3" r:id="rId1" display="https://gdtusa--intqa--stratavar.sandbox.vf.force.com/a06WD00000FOWqwYAH" xr:uid="{95A3C350-2820-4DE4-B14C-6CD6D478BEC7}"/>
    <hyperlink ref="C5" r:id="rId2" display="https://gdtusa--intqa--stratavar.sandbox.vf.force.com/a06WD00000FOWqwYAH" xr:uid="{665C1FF5-C1DA-4D3F-B207-53E280EC5911}"/>
    <hyperlink ref="C6" r:id="rId3" display="https://gdtusa--intqa--stratavar.sandbox.vf.force.com/a06WD00000FOWqwYAH" xr:uid="{FFA999B1-5A78-478B-A53C-159B067ADFFA}"/>
    <hyperlink ref="C7" r:id="rId4" display="https://gdtusa--intqa--stratavar.sandbox.vf.force.com/a06WD00000FOWqwYAH" xr:uid="{891CBDB0-FE1D-41EE-BF16-12760E831AAC}"/>
    <hyperlink ref="C8" r:id="rId5" display="https://gdtusa--intqa--stratavar.sandbox.vf.force.com/a06WD00000FOWqwYAH" xr:uid="{79A0A6A1-FD5E-4434-88BE-9329D53BF6A9}"/>
    <hyperlink ref="C4" r:id="rId6" display="https://gdtusa--intqa--stratavar.sandbox.vf.force.com/a06WD00000FOWqwYAH" xr:uid="{4AB6FF2C-B00A-4C6C-A1A9-731182975FD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6F41-6A2F-4434-B8A9-88BC5B7517A1}">
  <dimension ref="A1:M6"/>
  <sheetViews>
    <sheetView workbookViewId="0">
      <selection activeCell="E14" sqref="A1:XFD1048576"/>
    </sheetView>
  </sheetViews>
  <sheetFormatPr defaultRowHeight="14.4" x14ac:dyDescent="0.3"/>
  <cols>
    <col min="2" max="2" width="29.6640625" customWidth="1"/>
    <col min="3" max="3" width="17" customWidth="1"/>
    <col min="11" max="11" width="15" customWidth="1"/>
    <col min="13" max="13" width="18.5546875" customWidth="1"/>
  </cols>
  <sheetData>
    <row r="1" spans="1:13" ht="43.8" thickBot="1" x14ac:dyDescent="0.35">
      <c r="A1" s="11" t="s">
        <v>22</v>
      </c>
      <c r="B1" s="45" t="s">
        <v>78</v>
      </c>
      <c r="C1" s="45" t="s">
        <v>62</v>
      </c>
      <c r="D1" s="16" t="s">
        <v>70</v>
      </c>
      <c r="E1" s="46" t="s">
        <v>71</v>
      </c>
      <c r="F1" s="46" t="s">
        <v>21</v>
      </c>
      <c r="G1" s="21" t="s">
        <v>27</v>
      </c>
      <c r="H1" s="22" t="s">
        <v>29</v>
      </c>
      <c r="I1" s="23" t="s">
        <v>28</v>
      </c>
      <c r="J1" s="50" t="s">
        <v>96</v>
      </c>
      <c r="K1" s="50" t="s">
        <v>97</v>
      </c>
      <c r="L1" s="50" t="s">
        <v>98</v>
      </c>
      <c r="M1" s="47" t="s">
        <v>81</v>
      </c>
    </row>
    <row r="2" spans="1:13" ht="57.6" x14ac:dyDescent="0.3">
      <c r="A2" s="41" t="s">
        <v>566</v>
      </c>
      <c r="B2" s="49" t="s">
        <v>85</v>
      </c>
      <c r="C2" s="41" t="s">
        <v>704</v>
      </c>
      <c r="D2" s="41" t="s">
        <v>73</v>
      </c>
      <c r="E2" s="41" t="s">
        <v>72</v>
      </c>
      <c r="F2" s="41" t="s">
        <v>79</v>
      </c>
      <c r="J2" t="s">
        <v>102</v>
      </c>
      <c r="K2" t="s">
        <v>103</v>
      </c>
      <c r="L2" t="s">
        <v>104</v>
      </c>
      <c r="M2" s="48" t="s">
        <v>82</v>
      </c>
    </row>
    <row r="3" spans="1:13" ht="57.6" x14ac:dyDescent="0.3">
      <c r="A3" s="41" t="s">
        <v>566</v>
      </c>
      <c r="B3" s="49" t="s">
        <v>86</v>
      </c>
      <c r="C3" s="41" t="s">
        <v>706</v>
      </c>
      <c r="D3" s="41" t="s">
        <v>105</v>
      </c>
      <c r="E3" s="41" t="s">
        <v>72</v>
      </c>
      <c r="F3" s="41" t="s">
        <v>79</v>
      </c>
      <c r="G3" s="31" t="s">
        <v>33</v>
      </c>
      <c r="H3" s="32" t="s">
        <v>43</v>
      </c>
      <c r="I3" s="29" t="s">
        <v>74</v>
      </c>
      <c r="J3" t="s">
        <v>102</v>
      </c>
      <c r="K3" t="s">
        <v>103</v>
      </c>
      <c r="L3" t="s">
        <v>104</v>
      </c>
      <c r="M3" s="48" t="s">
        <v>82</v>
      </c>
    </row>
    <row r="4" spans="1:13" ht="57.6" x14ac:dyDescent="0.3">
      <c r="A4" s="41" t="s">
        <v>566</v>
      </c>
      <c r="B4" s="49" t="s">
        <v>87</v>
      </c>
      <c r="C4" s="41" t="s">
        <v>707</v>
      </c>
      <c r="D4" s="41" t="s">
        <v>76</v>
      </c>
      <c r="E4" s="41" t="s">
        <v>72</v>
      </c>
      <c r="F4" s="41" t="s">
        <v>79</v>
      </c>
      <c r="J4" t="s">
        <v>102</v>
      </c>
      <c r="K4" t="s">
        <v>103</v>
      </c>
      <c r="L4" t="s">
        <v>104</v>
      </c>
      <c r="M4" s="48" t="s">
        <v>82</v>
      </c>
    </row>
    <row r="5" spans="1:13" ht="57.6" x14ac:dyDescent="0.3">
      <c r="A5" s="41" t="s">
        <v>566</v>
      </c>
      <c r="B5" s="49" t="s">
        <v>88</v>
      </c>
      <c r="C5" s="41" t="s">
        <v>595</v>
      </c>
      <c r="D5" s="41" t="s">
        <v>73</v>
      </c>
      <c r="E5" s="41" t="s">
        <v>72</v>
      </c>
      <c r="F5" s="41" t="s">
        <v>77</v>
      </c>
      <c r="J5" t="s">
        <v>102</v>
      </c>
      <c r="K5" t="s">
        <v>103</v>
      </c>
      <c r="L5" t="s">
        <v>104</v>
      </c>
      <c r="M5" s="48" t="s">
        <v>82</v>
      </c>
    </row>
    <row r="6" spans="1:13" ht="57.6" x14ac:dyDescent="0.3">
      <c r="A6" s="41" t="s">
        <v>566</v>
      </c>
      <c r="B6" s="49" t="s">
        <v>89</v>
      </c>
      <c r="C6" s="41" t="s">
        <v>708</v>
      </c>
      <c r="D6" s="41" t="s">
        <v>106</v>
      </c>
      <c r="E6" s="41" t="s">
        <v>72</v>
      </c>
      <c r="F6" s="41" t="s">
        <v>77</v>
      </c>
      <c r="J6" t="s">
        <v>102</v>
      </c>
      <c r="K6" t="s">
        <v>103</v>
      </c>
      <c r="L6" t="s">
        <v>104</v>
      </c>
      <c r="M6" s="48" t="s">
        <v>82</v>
      </c>
    </row>
  </sheetData>
  <autoFilter ref="C1:C6" xr:uid="{41C76F41-6A2F-4434-B8A9-88BC5B7517A1}"/>
  <phoneticPr fontId="9" type="noConversion"/>
  <pageMargins left="0.7" right="0.7" top="0.75" bottom="0.75" header="0.3" footer="0.3"/>
  <pageSetup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01CB-E612-4E1A-8FA2-D58492F56C9A}">
  <dimension ref="A1:M6"/>
  <sheetViews>
    <sheetView workbookViewId="0">
      <selection activeCell="G3" sqref="G3:I3"/>
    </sheetView>
  </sheetViews>
  <sheetFormatPr defaultRowHeight="14.4" x14ac:dyDescent="0.3"/>
  <cols>
    <col min="2" max="2" width="29.6640625" customWidth="1"/>
    <col min="3" max="3" width="27.109375" customWidth="1"/>
    <col min="11" max="11" width="15" customWidth="1"/>
    <col min="13" max="13" width="18.5546875" customWidth="1"/>
  </cols>
  <sheetData>
    <row r="1" spans="1:13" ht="43.8" thickBot="1" x14ac:dyDescent="0.35">
      <c r="A1" s="11" t="s">
        <v>22</v>
      </c>
      <c r="B1" s="45" t="s">
        <v>78</v>
      </c>
      <c r="C1" s="45" t="s">
        <v>62</v>
      </c>
      <c r="D1" s="16" t="s">
        <v>70</v>
      </c>
      <c r="E1" s="46" t="s">
        <v>71</v>
      </c>
      <c r="F1" s="46" t="s">
        <v>21</v>
      </c>
      <c r="G1" s="21" t="s">
        <v>27</v>
      </c>
      <c r="H1" s="22" t="s">
        <v>29</v>
      </c>
      <c r="I1" s="23" t="s">
        <v>28</v>
      </c>
      <c r="J1" s="50" t="s">
        <v>96</v>
      </c>
      <c r="K1" s="50" t="s">
        <v>97</v>
      </c>
      <c r="L1" s="50" t="s">
        <v>98</v>
      </c>
      <c r="M1" s="47" t="s">
        <v>81</v>
      </c>
    </row>
    <row r="2" spans="1:13" ht="57.6" x14ac:dyDescent="0.3">
      <c r="A2" s="41" t="s">
        <v>566</v>
      </c>
      <c r="B2" s="49" t="s">
        <v>85</v>
      </c>
      <c r="C2" t="s">
        <v>738</v>
      </c>
      <c r="D2" s="41" t="s">
        <v>604</v>
      </c>
      <c r="E2" s="41" t="s">
        <v>95</v>
      </c>
      <c r="F2" s="41" t="s">
        <v>79</v>
      </c>
      <c r="J2" t="s">
        <v>99</v>
      </c>
      <c r="K2" t="s">
        <v>100</v>
      </c>
      <c r="L2" t="s">
        <v>101</v>
      </c>
      <c r="M2" s="48" t="s">
        <v>82</v>
      </c>
    </row>
    <row r="3" spans="1:13" ht="57.6" x14ac:dyDescent="0.3">
      <c r="A3" s="41" t="s">
        <v>566</v>
      </c>
      <c r="B3" s="49" t="s">
        <v>86</v>
      </c>
      <c r="C3" t="s">
        <v>739</v>
      </c>
      <c r="D3" s="41" t="s">
        <v>75</v>
      </c>
      <c r="E3" s="41" t="s">
        <v>95</v>
      </c>
      <c r="F3" s="41" t="s">
        <v>79</v>
      </c>
      <c r="G3" s="31"/>
      <c r="H3" s="32"/>
      <c r="I3" s="29"/>
      <c r="J3" t="s">
        <v>99</v>
      </c>
      <c r="K3" t="s">
        <v>100</v>
      </c>
      <c r="L3" t="s">
        <v>101</v>
      </c>
      <c r="M3" s="48" t="s">
        <v>82</v>
      </c>
    </row>
    <row r="4" spans="1:13" ht="57.6" x14ac:dyDescent="0.3">
      <c r="A4" s="41" t="s">
        <v>566</v>
      </c>
      <c r="B4" s="49" t="s">
        <v>87</v>
      </c>
      <c r="C4" t="s">
        <v>740</v>
      </c>
      <c r="D4" s="41" t="s">
        <v>76</v>
      </c>
      <c r="E4" s="41" t="s">
        <v>95</v>
      </c>
      <c r="F4" s="41" t="s">
        <v>79</v>
      </c>
      <c r="J4" t="s">
        <v>99</v>
      </c>
      <c r="K4" t="s">
        <v>100</v>
      </c>
      <c r="L4" t="s">
        <v>101</v>
      </c>
      <c r="M4" s="48" t="s">
        <v>82</v>
      </c>
    </row>
    <row r="5" spans="1:13" ht="57.6" x14ac:dyDescent="0.3">
      <c r="A5" s="41" t="s">
        <v>566</v>
      </c>
      <c r="B5" s="49" t="s">
        <v>88</v>
      </c>
      <c r="C5" t="s">
        <v>752</v>
      </c>
      <c r="D5" s="41" t="s">
        <v>73</v>
      </c>
      <c r="E5" s="41" t="s">
        <v>95</v>
      </c>
      <c r="F5" s="41" t="s">
        <v>77</v>
      </c>
      <c r="J5" t="s">
        <v>99</v>
      </c>
      <c r="K5" t="s">
        <v>100</v>
      </c>
      <c r="L5" t="s">
        <v>101</v>
      </c>
      <c r="M5" s="48" t="s">
        <v>82</v>
      </c>
    </row>
    <row r="6" spans="1:13" ht="57.6" x14ac:dyDescent="0.3">
      <c r="A6" s="41" t="s">
        <v>566</v>
      </c>
      <c r="B6" s="49" t="s">
        <v>89</v>
      </c>
      <c r="C6" t="s">
        <v>753</v>
      </c>
      <c r="D6" s="41" t="s">
        <v>549</v>
      </c>
      <c r="E6" s="41" t="s">
        <v>95</v>
      </c>
      <c r="F6" s="41" t="s">
        <v>77</v>
      </c>
      <c r="J6" t="s">
        <v>99</v>
      </c>
      <c r="K6" t="s">
        <v>100</v>
      </c>
      <c r="L6" t="s">
        <v>101</v>
      </c>
      <c r="M6" s="48" t="s">
        <v>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7EE3-BC5F-4C86-BA78-182C163F1958}">
  <dimension ref="A1:M11"/>
  <sheetViews>
    <sheetView topLeftCell="A3" workbookViewId="0">
      <selection activeCell="H6" sqref="H6"/>
    </sheetView>
  </sheetViews>
  <sheetFormatPr defaultRowHeight="14.4" x14ac:dyDescent="0.3"/>
  <cols>
    <col min="2" max="2" width="29.6640625" customWidth="1"/>
    <col min="3" max="3" width="17" customWidth="1"/>
    <col min="11" max="11" width="15" customWidth="1"/>
    <col min="13" max="13" width="18.5546875" customWidth="1"/>
  </cols>
  <sheetData>
    <row r="1" spans="1:13" ht="43.8" thickBot="1" x14ac:dyDescent="0.35">
      <c r="A1" s="11" t="s">
        <v>22</v>
      </c>
      <c r="B1" s="45" t="s">
        <v>78</v>
      </c>
      <c r="C1" s="45" t="s">
        <v>62</v>
      </c>
      <c r="D1" s="16" t="s">
        <v>70</v>
      </c>
      <c r="E1" s="46" t="s">
        <v>71</v>
      </c>
      <c r="F1" s="46" t="s">
        <v>21</v>
      </c>
      <c r="G1" s="21" t="s">
        <v>27</v>
      </c>
      <c r="H1" s="22" t="s">
        <v>29</v>
      </c>
      <c r="I1" s="23" t="s">
        <v>28</v>
      </c>
      <c r="J1" s="50" t="s">
        <v>96</v>
      </c>
      <c r="K1" s="50" t="s">
        <v>97</v>
      </c>
      <c r="L1" s="50" t="s">
        <v>98</v>
      </c>
      <c r="M1" s="47" t="s">
        <v>81</v>
      </c>
    </row>
    <row r="2" spans="1:13" ht="57.6" x14ac:dyDescent="0.3">
      <c r="A2" s="41" t="s">
        <v>566</v>
      </c>
      <c r="B2" s="49" t="s">
        <v>85</v>
      </c>
      <c r="C2" s="41" t="s">
        <v>63</v>
      </c>
      <c r="D2" s="41" t="s">
        <v>73</v>
      </c>
      <c r="E2" s="41" t="s">
        <v>72</v>
      </c>
      <c r="F2" s="41" t="s">
        <v>79</v>
      </c>
      <c r="J2" t="s">
        <v>102</v>
      </c>
      <c r="K2" t="s">
        <v>103</v>
      </c>
      <c r="L2" t="s">
        <v>104</v>
      </c>
      <c r="M2" s="48" t="s">
        <v>82</v>
      </c>
    </row>
    <row r="3" spans="1:13" ht="57.6" x14ac:dyDescent="0.3">
      <c r="A3" s="41" t="s">
        <v>566</v>
      </c>
      <c r="B3" s="49" t="s">
        <v>86</v>
      </c>
      <c r="C3" s="41" t="s">
        <v>63</v>
      </c>
      <c r="D3" s="41" t="s">
        <v>105</v>
      </c>
      <c r="E3" s="41" t="s">
        <v>72</v>
      </c>
      <c r="F3" s="41" t="s">
        <v>79</v>
      </c>
      <c r="G3" s="31" t="s">
        <v>33</v>
      </c>
      <c r="H3" s="32" t="s">
        <v>43</v>
      </c>
      <c r="I3" s="29" t="s">
        <v>74</v>
      </c>
      <c r="J3" t="s">
        <v>102</v>
      </c>
      <c r="K3" t="s">
        <v>103</v>
      </c>
      <c r="L3" t="s">
        <v>104</v>
      </c>
      <c r="M3" s="48" t="s">
        <v>82</v>
      </c>
    </row>
    <row r="4" spans="1:13" ht="57.6" x14ac:dyDescent="0.3">
      <c r="A4" s="41" t="s">
        <v>566</v>
      </c>
      <c r="B4" s="49" t="s">
        <v>87</v>
      </c>
      <c r="C4" s="41" t="s">
        <v>63</v>
      </c>
      <c r="D4" s="41" t="s">
        <v>76</v>
      </c>
      <c r="E4" s="41" t="s">
        <v>72</v>
      </c>
      <c r="F4" s="41" t="s">
        <v>79</v>
      </c>
      <c r="J4" t="s">
        <v>102</v>
      </c>
      <c r="K4" t="s">
        <v>103</v>
      </c>
      <c r="L4" t="s">
        <v>104</v>
      </c>
      <c r="M4" s="48" t="s">
        <v>82</v>
      </c>
    </row>
    <row r="5" spans="1:13" ht="57.6" x14ac:dyDescent="0.3">
      <c r="A5" s="41" t="s">
        <v>566</v>
      </c>
      <c r="B5" s="49" t="s">
        <v>88</v>
      </c>
      <c r="C5" s="41" t="s">
        <v>63</v>
      </c>
      <c r="D5" s="41" t="s">
        <v>73</v>
      </c>
      <c r="E5" s="41" t="s">
        <v>72</v>
      </c>
      <c r="F5" s="41" t="s">
        <v>77</v>
      </c>
      <c r="J5" t="s">
        <v>102</v>
      </c>
      <c r="K5" t="s">
        <v>103</v>
      </c>
      <c r="L5" t="s">
        <v>104</v>
      </c>
      <c r="M5" s="48" t="s">
        <v>82</v>
      </c>
    </row>
    <row r="6" spans="1:13" ht="57.6" x14ac:dyDescent="0.3">
      <c r="A6" s="41" t="s">
        <v>566</v>
      </c>
      <c r="B6" s="49" t="s">
        <v>89</v>
      </c>
      <c r="C6" s="41" t="s">
        <v>63</v>
      </c>
      <c r="D6" s="41" t="s">
        <v>106</v>
      </c>
      <c r="E6" s="41" t="s">
        <v>72</v>
      </c>
      <c r="F6" s="41" t="s">
        <v>77</v>
      </c>
      <c r="J6" t="s">
        <v>102</v>
      </c>
      <c r="K6" t="s">
        <v>103</v>
      </c>
      <c r="L6" t="s">
        <v>104</v>
      </c>
      <c r="M6" s="48" t="s">
        <v>82</v>
      </c>
    </row>
    <row r="7" spans="1:13" ht="57.6" x14ac:dyDescent="0.3">
      <c r="A7" s="41" t="s">
        <v>525</v>
      </c>
      <c r="B7" s="49" t="s">
        <v>90</v>
      </c>
      <c r="C7" s="41" t="s">
        <v>80</v>
      </c>
      <c r="D7" s="41" t="s">
        <v>73</v>
      </c>
      <c r="E7" s="41" t="s">
        <v>95</v>
      </c>
      <c r="F7" s="41" t="s">
        <v>79</v>
      </c>
      <c r="J7" s="40" t="s">
        <v>99</v>
      </c>
      <c r="K7" s="40" t="s">
        <v>100</v>
      </c>
      <c r="L7" s="40" t="s">
        <v>101</v>
      </c>
      <c r="M7" s="48" t="s">
        <v>82</v>
      </c>
    </row>
    <row r="8" spans="1:13" ht="57.6" x14ac:dyDescent="0.3">
      <c r="A8" s="41" t="s">
        <v>525</v>
      </c>
      <c r="B8" s="49" t="s">
        <v>91</v>
      </c>
      <c r="C8" s="41" t="s">
        <v>80</v>
      </c>
      <c r="D8" s="41" t="s">
        <v>47</v>
      </c>
      <c r="E8" s="41" t="s">
        <v>95</v>
      </c>
      <c r="F8" s="41" t="s">
        <v>79</v>
      </c>
      <c r="G8" s="31" t="s">
        <v>31</v>
      </c>
      <c r="H8" s="32" t="s">
        <v>65</v>
      </c>
      <c r="I8" s="29" t="s">
        <v>61</v>
      </c>
      <c r="J8" s="40" t="s">
        <v>99</v>
      </c>
      <c r="K8" s="40" t="s">
        <v>100</v>
      </c>
      <c r="L8" s="40" t="s">
        <v>101</v>
      </c>
      <c r="M8" s="48" t="s">
        <v>82</v>
      </c>
    </row>
    <row r="9" spans="1:13" ht="57.6" x14ac:dyDescent="0.3">
      <c r="A9" s="41" t="s">
        <v>525</v>
      </c>
      <c r="B9" s="49" t="s">
        <v>92</v>
      </c>
      <c r="C9" s="41" t="s">
        <v>80</v>
      </c>
      <c r="D9" s="41" t="s">
        <v>76</v>
      </c>
      <c r="E9" s="41" t="s">
        <v>95</v>
      </c>
      <c r="F9" s="41" t="s">
        <v>79</v>
      </c>
      <c r="J9" s="40" t="s">
        <v>99</v>
      </c>
      <c r="K9" s="40" t="s">
        <v>100</v>
      </c>
      <c r="L9" s="40" t="s">
        <v>101</v>
      </c>
      <c r="M9" s="48" t="s">
        <v>82</v>
      </c>
    </row>
    <row r="10" spans="1:13" ht="57.6" x14ac:dyDescent="0.3">
      <c r="A10" s="41" t="s">
        <v>525</v>
      </c>
      <c r="B10" s="49" t="s">
        <v>93</v>
      </c>
      <c r="C10" s="41" t="s">
        <v>80</v>
      </c>
      <c r="D10" s="41" t="s">
        <v>73</v>
      </c>
      <c r="E10" s="41" t="s">
        <v>95</v>
      </c>
      <c r="F10" s="41" t="s">
        <v>77</v>
      </c>
      <c r="J10" s="40" t="s">
        <v>99</v>
      </c>
      <c r="K10" s="40" t="s">
        <v>100</v>
      </c>
      <c r="L10" s="40" t="s">
        <v>101</v>
      </c>
      <c r="M10" s="48" t="s">
        <v>82</v>
      </c>
    </row>
    <row r="11" spans="1:13" ht="57.6" x14ac:dyDescent="0.3">
      <c r="A11" s="41" t="s">
        <v>525</v>
      </c>
      <c r="B11" s="49" t="s">
        <v>94</v>
      </c>
      <c r="C11" s="41" t="s">
        <v>80</v>
      </c>
      <c r="D11" s="41" t="s">
        <v>75</v>
      </c>
      <c r="E11" s="41" t="s">
        <v>95</v>
      </c>
      <c r="F11" s="41" t="s">
        <v>77</v>
      </c>
      <c r="J11" s="40" t="s">
        <v>99</v>
      </c>
      <c r="K11" s="40" t="s">
        <v>100</v>
      </c>
      <c r="L11" s="40" t="s">
        <v>101</v>
      </c>
      <c r="M11" s="48" t="s">
        <v>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DD89-17EA-4161-94B8-F35B1C4FE1D6}">
  <dimension ref="A1:D3"/>
  <sheetViews>
    <sheetView workbookViewId="0">
      <selection activeCell="F3" sqref="A1:XFD1048576"/>
    </sheetView>
  </sheetViews>
  <sheetFormatPr defaultRowHeight="14.4" x14ac:dyDescent="0.3"/>
  <cols>
    <col min="1" max="1" width="27.44140625" customWidth="1"/>
    <col min="2" max="2" width="21.33203125" customWidth="1"/>
    <col min="3" max="3" width="35.44140625" customWidth="1"/>
    <col min="4" max="4" width="17.109375" customWidth="1"/>
  </cols>
  <sheetData>
    <row r="1" spans="1:4" ht="15" thickBot="1" x14ac:dyDescent="0.35">
      <c r="A1" s="11" t="s">
        <v>22</v>
      </c>
      <c r="B1" s="45" t="s">
        <v>78</v>
      </c>
      <c r="C1" s="45" t="s">
        <v>62</v>
      </c>
      <c r="D1" s="47" t="s">
        <v>81</v>
      </c>
    </row>
    <row r="2" spans="1:4" ht="106.5" customHeight="1" x14ac:dyDescent="0.3">
      <c r="A2" s="41" t="s">
        <v>567</v>
      </c>
      <c r="B2" s="49" t="s">
        <v>84</v>
      </c>
      <c r="C2" s="41" t="s">
        <v>595</v>
      </c>
      <c r="D2" s="48" t="s">
        <v>82</v>
      </c>
    </row>
    <row r="3" spans="1:4" ht="144.75" customHeight="1" x14ac:dyDescent="0.3">
      <c r="A3" s="41" t="s">
        <v>568</v>
      </c>
      <c r="B3" s="49" t="s">
        <v>83</v>
      </c>
      <c r="C3" s="41" t="s">
        <v>704</v>
      </c>
      <c r="D3" s="48" t="s">
        <v>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10A7-E08C-4FF7-A8F8-2941EB68ED05}">
  <dimension ref="A1:D3"/>
  <sheetViews>
    <sheetView workbookViewId="0">
      <selection activeCell="K18" sqref="K18"/>
    </sheetView>
  </sheetViews>
  <sheetFormatPr defaultRowHeight="14.4" x14ac:dyDescent="0.3"/>
  <cols>
    <col min="1" max="1" width="27.44140625" customWidth="1"/>
    <col min="2" max="2" width="21.33203125" customWidth="1"/>
    <col min="3" max="3" width="35.44140625" customWidth="1"/>
    <col min="4" max="4" width="17.109375" customWidth="1"/>
  </cols>
  <sheetData>
    <row r="1" spans="1:4" ht="15" thickBot="1" x14ac:dyDescent="0.35">
      <c r="A1" s="11" t="s">
        <v>22</v>
      </c>
      <c r="B1" s="45" t="s">
        <v>78</v>
      </c>
      <c r="C1" s="45" t="s">
        <v>62</v>
      </c>
      <c r="D1" s="47" t="s">
        <v>81</v>
      </c>
    </row>
    <row r="2" spans="1:4" ht="106.5" customHeight="1" x14ac:dyDescent="0.3">
      <c r="A2" s="41" t="s">
        <v>567</v>
      </c>
      <c r="B2" s="49" t="s">
        <v>84</v>
      </c>
      <c r="C2" t="s">
        <v>739</v>
      </c>
      <c r="D2" s="48" t="s">
        <v>82</v>
      </c>
    </row>
    <row r="3" spans="1:4" ht="144.75" customHeight="1" x14ac:dyDescent="0.3">
      <c r="A3" s="41" t="s">
        <v>568</v>
      </c>
      <c r="B3" s="49" t="s">
        <v>83</v>
      </c>
      <c r="C3" s="41" t="s">
        <v>741</v>
      </c>
      <c r="D3" s="48" t="s">
        <v>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7788-D0E7-4739-979F-258402B34804}">
  <dimension ref="A1:M6"/>
  <sheetViews>
    <sheetView workbookViewId="0">
      <selection activeCell="H36" sqref="H36"/>
    </sheetView>
  </sheetViews>
  <sheetFormatPr defaultRowHeight="14.4" x14ac:dyDescent="0.3"/>
  <cols>
    <col min="1" max="13" width="28.44140625" customWidth="1"/>
  </cols>
  <sheetData>
    <row r="1" spans="1:13" ht="43.8" thickBot="1" x14ac:dyDescent="0.35">
      <c r="A1" s="174" t="s">
        <v>22</v>
      </c>
      <c r="B1" s="175" t="s">
        <v>78</v>
      </c>
      <c r="C1" s="175" t="s">
        <v>62</v>
      </c>
      <c r="D1" s="178" t="s">
        <v>70</v>
      </c>
      <c r="E1" s="179" t="s">
        <v>71</v>
      </c>
      <c r="F1" s="179" t="s">
        <v>21</v>
      </c>
      <c r="G1" s="158" t="s">
        <v>27</v>
      </c>
      <c r="H1" s="159" t="s">
        <v>29</v>
      </c>
      <c r="I1" s="160" t="s">
        <v>28</v>
      </c>
      <c r="J1" s="216" t="s">
        <v>96</v>
      </c>
      <c r="K1" s="216" t="s">
        <v>97</v>
      </c>
      <c r="L1" s="216" t="s">
        <v>98</v>
      </c>
      <c r="M1" s="210" t="s">
        <v>81</v>
      </c>
    </row>
    <row r="2" spans="1:13" ht="37.200000000000003" customHeight="1" x14ac:dyDescent="0.3">
      <c r="A2" s="188" t="s">
        <v>566</v>
      </c>
      <c r="B2" s="217" t="s">
        <v>771</v>
      </c>
      <c r="C2" s="149" t="s">
        <v>787</v>
      </c>
      <c r="D2" s="188" t="s">
        <v>604</v>
      </c>
      <c r="E2" s="188" t="s">
        <v>95</v>
      </c>
      <c r="F2" s="188" t="s">
        <v>79</v>
      </c>
      <c r="G2" s="149"/>
      <c r="H2" s="149"/>
      <c r="I2" s="149"/>
      <c r="J2" s="149" t="s">
        <v>99</v>
      </c>
      <c r="K2" s="149" t="s">
        <v>100</v>
      </c>
      <c r="L2" s="149" t="s">
        <v>101</v>
      </c>
      <c r="M2" s="167" t="s">
        <v>82</v>
      </c>
    </row>
    <row r="3" spans="1:13" ht="37.200000000000003" customHeight="1" x14ac:dyDescent="0.3">
      <c r="A3" s="188" t="s">
        <v>566</v>
      </c>
      <c r="B3" s="217" t="s">
        <v>772</v>
      </c>
      <c r="C3" s="149" t="s">
        <v>788</v>
      </c>
      <c r="D3" s="188" t="s">
        <v>75</v>
      </c>
      <c r="E3" s="188" t="s">
        <v>95</v>
      </c>
      <c r="F3" s="188" t="s">
        <v>79</v>
      </c>
      <c r="G3" s="166"/>
      <c r="H3" s="150"/>
      <c r="I3" s="150"/>
      <c r="J3" s="149" t="s">
        <v>99</v>
      </c>
      <c r="K3" s="149" t="s">
        <v>100</v>
      </c>
      <c r="L3" s="149" t="s">
        <v>101</v>
      </c>
      <c r="M3" s="167" t="s">
        <v>82</v>
      </c>
    </row>
    <row r="4" spans="1:13" ht="37.200000000000003" customHeight="1" x14ac:dyDescent="0.3">
      <c r="A4" s="188" t="s">
        <v>566</v>
      </c>
      <c r="B4" s="217" t="s">
        <v>773</v>
      </c>
      <c r="C4" s="149" t="s">
        <v>789</v>
      </c>
      <c r="D4" s="188" t="s">
        <v>76</v>
      </c>
      <c r="E4" s="188" t="s">
        <v>95</v>
      </c>
      <c r="F4" s="188" t="s">
        <v>79</v>
      </c>
      <c r="G4" s="149"/>
      <c r="H4" s="149"/>
      <c r="I4" s="149"/>
      <c r="J4" s="149" t="s">
        <v>99</v>
      </c>
      <c r="K4" s="149" t="s">
        <v>100</v>
      </c>
      <c r="L4" s="149" t="s">
        <v>101</v>
      </c>
      <c r="M4" s="167" t="s">
        <v>82</v>
      </c>
    </row>
    <row r="5" spans="1:13" ht="37.200000000000003" customHeight="1" x14ac:dyDescent="0.3">
      <c r="A5" s="188" t="s">
        <v>566</v>
      </c>
      <c r="B5" s="217" t="s">
        <v>774</v>
      </c>
      <c r="C5" s="149" t="s">
        <v>790</v>
      </c>
      <c r="D5" s="188" t="s">
        <v>73</v>
      </c>
      <c r="E5" s="188" t="s">
        <v>95</v>
      </c>
      <c r="F5" s="188" t="s">
        <v>77</v>
      </c>
      <c r="G5" s="149"/>
      <c r="H5" s="149"/>
      <c r="I5" s="149"/>
      <c r="J5" s="149" t="s">
        <v>99</v>
      </c>
      <c r="K5" s="149" t="s">
        <v>100</v>
      </c>
      <c r="L5" s="149" t="s">
        <v>101</v>
      </c>
      <c r="M5" s="167" t="s">
        <v>82</v>
      </c>
    </row>
    <row r="6" spans="1:13" ht="37.200000000000003" customHeight="1" x14ac:dyDescent="0.3">
      <c r="A6" s="188" t="s">
        <v>566</v>
      </c>
      <c r="B6" s="217" t="s">
        <v>775</v>
      </c>
      <c r="C6" s="149" t="s">
        <v>754</v>
      </c>
      <c r="D6" s="188" t="s">
        <v>549</v>
      </c>
      <c r="E6" s="188" t="s">
        <v>95</v>
      </c>
      <c r="F6" s="188" t="s">
        <v>77</v>
      </c>
      <c r="G6" s="149"/>
      <c r="H6" s="149"/>
      <c r="I6" s="149"/>
      <c r="J6" s="149" t="s">
        <v>99</v>
      </c>
      <c r="K6" s="149" t="s">
        <v>100</v>
      </c>
      <c r="L6" s="149" t="s">
        <v>101</v>
      </c>
      <c r="M6" s="167" t="s">
        <v>82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8EFB-5716-4B0F-BD77-53380BC77634}">
  <dimension ref="A1:M6"/>
  <sheetViews>
    <sheetView workbookViewId="0">
      <selection activeCell="I17" sqref="I17"/>
    </sheetView>
  </sheetViews>
  <sheetFormatPr defaultRowHeight="14.4" x14ac:dyDescent="0.3"/>
  <cols>
    <col min="1" max="13" width="18.6640625" customWidth="1"/>
  </cols>
  <sheetData>
    <row r="1" spans="1:13" ht="15" thickBot="1" x14ac:dyDescent="0.35">
      <c r="A1" s="174" t="s">
        <v>22</v>
      </c>
      <c r="B1" s="175" t="s">
        <v>78</v>
      </c>
      <c r="C1" s="175" t="s">
        <v>62</v>
      </c>
      <c r="D1" s="178" t="s">
        <v>70</v>
      </c>
      <c r="E1" s="179" t="s">
        <v>71</v>
      </c>
      <c r="F1" s="179" t="s">
        <v>21</v>
      </c>
      <c r="G1" s="158" t="s">
        <v>27</v>
      </c>
      <c r="H1" s="159" t="s">
        <v>29</v>
      </c>
      <c r="I1" s="160" t="s">
        <v>28</v>
      </c>
      <c r="J1" s="216" t="s">
        <v>96</v>
      </c>
      <c r="K1" s="216" t="s">
        <v>97</v>
      </c>
      <c r="L1" s="216" t="s">
        <v>98</v>
      </c>
      <c r="M1" s="210" t="s">
        <v>81</v>
      </c>
    </row>
    <row r="2" spans="1:13" ht="71.400000000000006" customHeight="1" x14ac:dyDescent="0.3">
      <c r="A2" s="188" t="s">
        <v>566</v>
      </c>
      <c r="B2" s="217" t="s">
        <v>771</v>
      </c>
      <c r="C2" s="149" t="s">
        <v>818</v>
      </c>
      <c r="D2" s="188" t="s">
        <v>604</v>
      </c>
      <c r="E2" s="188" t="s">
        <v>95</v>
      </c>
      <c r="F2" s="188" t="s">
        <v>79</v>
      </c>
      <c r="G2" s="149"/>
      <c r="H2" s="149"/>
      <c r="I2" s="149"/>
      <c r="J2" s="149" t="s">
        <v>99</v>
      </c>
      <c r="K2" s="149" t="s">
        <v>100</v>
      </c>
      <c r="L2" s="149" t="s">
        <v>101</v>
      </c>
      <c r="M2" s="167" t="s">
        <v>82</v>
      </c>
    </row>
    <row r="3" spans="1:13" ht="71.400000000000006" customHeight="1" x14ac:dyDescent="0.3">
      <c r="A3" s="188" t="s">
        <v>566</v>
      </c>
      <c r="B3" s="217" t="s">
        <v>772</v>
      </c>
      <c r="C3" s="149" t="s">
        <v>819</v>
      </c>
      <c r="D3" s="188" t="s">
        <v>75</v>
      </c>
      <c r="E3" s="188" t="s">
        <v>95</v>
      </c>
      <c r="F3" s="188" t="s">
        <v>79</v>
      </c>
      <c r="G3" s="166"/>
      <c r="H3" s="150"/>
      <c r="I3" s="150"/>
      <c r="J3" s="149" t="s">
        <v>99</v>
      </c>
      <c r="K3" s="149" t="s">
        <v>100</v>
      </c>
      <c r="L3" s="149" t="s">
        <v>101</v>
      </c>
      <c r="M3" s="167" t="s">
        <v>82</v>
      </c>
    </row>
    <row r="4" spans="1:13" ht="71.400000000000006" customHeight="1" x14ac:dyDescent="0.3">
      <c r="A4" s="188" t="s">
        <v>566</v>
      </c>
      <c r="B4" s="217" t="s">
        <v>773</v>
      </c>
      <c r="C4" s="149" t="s">
        <v>820</v>
      </c>
      <c r="D4" s="188" t="s">
        <v>76</v>
      </c>
      <c r="E4" s="188" t="s">
        <v>95</v>
      </c>
      <c r="F4" s="188" t="s">
        <v>79</v>
      </c>
      <c r="G4" s="149"/>
      <c r="H4" s="149"/>
      <c r="I4" s="149"/>
      <c r="J4" s="149" t="s">
        <v>99</v>
      </c>
      <c r="K4" s="149" t="s">
        <v>100</v>
      </c>
      <c r="L4" s="149" t="s">
        <v>101</v>
      </c>
      <c r="M4" s="167" t="s">
        <v>82</v>
      </c>
    </row>
    <row r="5" spans="1:13" ht="71.400000000000006" customHeight="1" x14ac:dyDescent="0.3">
      <c r="A5" s="188" t="s">
        <v>566</v>
      </c>
      <c r="B5" s="217" t="s">
        <v>774</v>
      </c>
      <c r="C5" s="149" t="s">
        <v>821</v>
      </c>
      <c r="D5" s="188" t="s">
        <v>73</v>
      </c>
      <c r="E5" s="188" t="s">
        <v>95</v>
      </c>
      <c r="F5" s="188" t="s">
        <v>77</v>
      </c>
      <c r="G5" s="149"/>
      <c r="H5" s="149"/>
      <c r="I5" s="149"/>
      <c r="J5" s="149" t="s">
        <v>99</v>
      </c>
      <c r="K5" s="149" t="s">
        <v>100</v>
      </c>
      <c r="L5" s="149" t="s">
        <v>101</v>
      </c>
      <c r="M5" s="167" t="s">
        <v>82</v>
      </c>
    </row>
    <row r="6" spans="1:13" ht="71.400000000000006" customHeight="1" x14ac:dyDescent="0.3">
      <c r="A6" s="188" t="s">
        <v>566</v>
      </c>
      <c r="B6" s="217" t="s">
        <v>775</v>
      </c>
      <c r="C6" s="149" t="s">
        <v>822</v>
      </c>
      <c r="D6" s="188" t="s">
        <v>549</v>
      </c>
      <c r="E6" s="188" t="s">
        <v>95</v>
      </c>
      <c r="F6" s="188" t="s">
        <v>77</v>
      </c>
      <c r="G6" s="149"/>
      <c r="H6" s="149"/>
      <c r="I6" s="149"/>
      <c r="J6" s="149" t="s">
        <v>99</v>
      </c>
      <c r="K6" s="149" t="s">
        <v>100</v>
      </c>
      <c r="L6" s="149" t="s">
        <v>101</v>
      </c>
      <c r="M6" s="167" t="s">
        <v>82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8961-3439-4BC5-8A4D-510E1E03A733}">
  <dimension ref="A1:D3"/>
  <sheetViews>
    <sheetView workbookViewId="0">
      <selection activeCell="C8" sqref="C8"/>
    </sheetView>
  </sheetViews>
  <sheetFormatPr defaultRowHeight="14.4" x14ac:dyDescent="0.3"/>
  <cols>
    <col min="1" max="4" width="32.77734375" customWidth="1"/>
  </cols>
  <sheetData>
    <row r="1" spans="1:4" ht="15" thickBot="1" x14ac:dyDescent="0.35">
      <c r="A1" s="174" t="s">
        <v>22</v>
      </c>
      <c r="B1" s="175" t="s">
        <v>78</v>
      </c>
      <c r="C1" s="175" t="s">
        <v>62</v>
      </c>
      <c r="D1" s="210" t="s">
        <v>81</v>
      </c>
    </row>
    <row r="2" spans="1:4" ht="61.2" customHeight="1" x14ac:dyDescent="0.3">
      <c r="A2" s="188" t="s">
        <v>567</v>
      </c>
      <c r="B2" s="217" t="s">
        <v>776</v>
      </c>
      <c r="C2" s="149" t="s">
        <v>794</v>
      </c>
      <c r="D2" s="167" t="s">
        <v>82</v>
      </c>
    </row>
    <row r="3" spans="1:4" ht="61.2" customHeight="1" x14ac:dyDescent="0.3">
      <c r="A3" s="188" t="s">
        <v>568</v>
      </c>
      <c r="B3" s="217" t="s">
        <v>777</v>
      </c>
      <c r="C3" s="188" t="s">
        <v>795</v>
      </c>
      <c r="D3" s="167" t="s">
        <v>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C63E-E3AC-4877-912D-2DB8D0A0A16F}">
  <dimension ref="A1:D3"/>
  <sheetViews>
    <sheetView workbookViewId="0">
      <selection activeCell="N30" sqref="N30"/>
    </sheetView>
  </sheetViews>
  <sheetFormatPr defaultRowHeight="14.4" x14ac:dyDescent="0.3"/>
  <cols>
    <col min="1" max="4" width="22.109375" customWidth="1"/>
  </cols>
  <sheetData>
    <row r="1" spans="1:4" ht="43.8" thickBot="1" x14ac:dyDescent="0.35">
      <c r="A1" s="174" t="s">
        <v>22</v>
      </c>
      <c r="B1" s="175" t="s">
        <v>78</v>
      </c>
      <c r="C1" s="175" t="s">
        <v>62</v>
      </c>
      <c r="D1" s="210" t="s">
        <v>81</v>
      </c>
    </row>
    <row r="2" spans="1:4" ht="149.4" customHeight="1" x14ac:dyDescent="0.3">
      <c r="A2" s="188" t="s">
        <v>567</v>
      </c>
      <c r="B2" s="217" t="s">
        <v>776</v>
      </c>
      <c r="C2" s="149" t="s">
        <v>823</v>
      </c>
      <c r="D2" s="167" t="s">
        <v>82</v>
      </c>
    </row>
    <row r="3" spans="1:4" ht="149.4" customHeight="1" x14ac:dyDescent="0.3">
      <c r="A3" s="188" t="s">
        <v>568</v>
      </c>
      <c r="B3" s="217" t="s">
        <v>777</v>
      </c>
      <c r="C3" s="188" t="s">
        <v>824</v>
      </c>
      <c r="D3" s="167" t="s">
        <v>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99BA-1350-4C2D-9187-26197EF45C84}">
  <dimension ref="A1:K6"/>
  <sheetViews>
    <sheetView workbookViewId="0">
      <selection activeCell="D17" sqref="D17"/>
    </sheetView>
  </sheetViews>
  <sheetFormatPr defaultRowHeight="14.4" x14ac:dyDescent="0.3"/>
  <cols>
    <col min="1" max="1" width="18.33203125" customWidth="1"/>
    <col min="3" max="4" width="23" customWidth="1"/>
    <col min="5" max="5" width="16.109375" customWidth="1"/>
    <col min="6" max="6" width="23.33203125" customWidth="1"/>
    <col min="7" max="7" width="23.88671875" customWidth="1"/>
    <col min="8" max="8" width="19.33203125" customWidth="1"/>
    <col min="9" max="10" width="35" customWidth="1"/>
    <col min="11" max="11" width="49.6640625" customWidth="1"/>
  </cols>
  <sheetData>
    <row r="1" spans="1:11" x14ac:dyDescent="0.3">
      <c r="A1" s="77" t="s">
        <v>22</v>
      </c>
      <c r="B1" s="77" t="s">
        <v>535</v>
      </c>
      <c r="C1" s="77" t="s">
        <v>62</v>
      </c>
      <c r="D1" s="77" t="s">
        <v>542</v>
      </c>
      <c r="E1" s="77" t="s">
        <v>576</v>
      </c>
      <c r="F1" s="77" t="s">
        <v>577</v>
      </c>
      <c r="G1" s="77" t="s">
        <v>578</v>
      </c>
      <c r="H1" s="77" t="s">
        <v>536</v>
      </c>
      <c r="I1" s="77" t="s">
        <v>537</v>
      </c>
      <c r="J1" s="77" t="s">
        <v>546</v>
      </c>
      <c r="K1" s="78" t="s">
        <v>538</v>
      </c>
    </row>
    <row r="2" spans="1:11" x14ac:dyDescent="0.3">
      <c r="A2" t="s">
        <v>572</v>
      </c>
      <c r="B2">
        <v>1</v>
      </c>
      <c r="C2" t="s">
        <v>539</v>
      </c>
      <c r="D2" t="s">
        <v>543</v>
      </c>
      <c r="E2" t="s">
        <v>579</v>
      </c>
      <c r="F2" t="s">
        <v>580</v>
      </c>
      <c r="G2" t="s">
        <v>581</v>
      </c>
      <c r="H2" t="s">
        <v>545</v>
      </c>
      <c r="I2" t="s">
        <v>541</v>
      </c>
      <c r="K2" t="s">
        <v>551</v>
      </c>
    </row>
    <row r="3" spans="1:11" x14ac:dyDescent="0.3">
      <c r="A3" t="s">
        <v>573</v>
      </c>
      <c r="B3">
        <v>2</v>
      </c>
      <c r="C3" t="s">
        <v>709</v>
      </c>
      <c r="D3" t="s">
        <v>544</v>
      </c>
      <c r="H3" t="s">
        <v>76</v>
      </c>
      <c r="I3" t="s">
        <v>540</v>
      </c>
    </row>
    <row r="4" spans="1:11" x14ac:dyDescent="0.3">
      <c r="A4" t="s">
        <v>575</v>
      </c>
      <c r="B4">
        <v>3</v>
      </c>
      <c r="C4" t="s">
        <v>710</v>
      </c>
      <c r="D4" t="s">
        <v>543</v>
      </c>
      <c r="H4" t="s">
        <v>549</v>
      </c>
      <c r="J4" t="s">
        <v>547</v>
      </c>
      <c r="K4" t="s">
        <v>550</v>
      </c>
    </row>
    <row r="5" spans="1:11" x14ac:dyDescent="0.3">
      <c r="A5" t="s">
        <v>574</v>
      </c>
      <c r="B5">
        <v>4</v>
      </c>
      <c r="C5" t="s">
        <v>705</v>
      </c>
      <c r="D5" t="s">
        <v>544</v>
      </c>
      <c r="H5" t="s">
        <v>76</v>
      </c>
      <c r="J5" t="s">
        <v>548</v>
      </c>
    </row>
    <row r="6" spans="1:11" x14ac:dyDescent="0.3">
      <c r="A6" t="s">
        <v>571</v>
      </c>
      <c r="B6">
        <v>5</v>
      </c>
      <c r="C6" t="s">
        <v>711</v>
      </c>
      <c r="D6" t="s">
        <v>544</v>
      </c>
      <c r="H6" t="s">
        <v>73</v>
      </c>
      <c r="I6" t="s">
        <v>541</v>
      </c>
      <c r="J6" t="s">
        <v>547</v>
      </c>
      <c r="K6" t="s">
        <v>552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A818-9EB3-4C73-8AAC-5D28167D9BA4}">
  <dimension ref="A1:K6"/>
  <sheetViews>
    <sheetView workbookViewId="0">
      <selection activeCell="E2" sqref="E2:G2"/>
    </sheetView>
  </sheetViews>
  <sheetFormatPr defaultRowHeight="14.4" x14ac:dyDescent="0.3"/>
  <cols>
    <col min="1" max="1" width="18.33203125" customWidth="1"/>
    <col min="3" max="4" width="23" customWidth="1"/>
    <col min="5" max="5" width="16.109375" customWidth="1"/>
    <col min="6" max="6" width="23.33203125" customWidth="1"/>
    <col min="7" max="7" width="23.88671875" customWidth="1"/>
    <col min="8" max="8" width="19.33203125" customWidth="1"/>
    <col min="9" max="10" width="35" customWidth="1"/>
    <col min="11" max="11" width="49.6640625" customWidth="1"/>
  </cols>
  <sheetData>
    <row r="1" spans="1:11" x14ac:dyDescent="0.3">
      <c r="A1" s="77" t="s">
        <v>22</v>
      </c>
      <c r="B1" s="77" t="s">
        <v>535</v>
      </c>
      <c r="C1" s="77" t="s">
        <v>62</v>
      </c>
      <c r="D1" s="77" t="s">
        <v>542</v>
      </c>
      <c r="E1" s="77" t="s">
        <v>576</v>
      </c>
      <c r="F1" s="77" t="s">
        <v>577</v>
      </c>
      <c r="G1" s="77" t="s">
        <v>578</v>
      </c>
      <c r="H1" s="77" t="s">
        <v>536</v>
      </c>
      <c r="I1" s="77" t="s">
        <v>537</v>
      </c>
      <c r="J1" s="77" t="s">
        <v>546</v>
      </c>
      <c r="K1" s="78" t="s">
        <v>538</v>
      </c>
    </row>
    <row r="2" spans="1:11" x14ac:dyDescent="0.3">
      <c r="A2" t="s">
        <v>572</v>
      </c>
      <c r="B2">
        <v>1</v>
      </c>
      <c r="C2" t="s">
        <v>738</v>
      </c>
      <c r="D2" t="s">
        <v>543</v>
      </c>
      <c r="E2" t="s">
        <v>579</v>
      </c>
      <c r="F2" t="s">
        <v>580</v>
      </c>
      <c r="G2" t="s">
        <v>581</v>
      </c>
      <c r="H2" t="s">
        <v>47</v>
      </c>
      <c r="I2" t="s">
        <v>541</v>
      </c>
      <c r="K2" t="s">
        <v>551</v>
      </c>
    </row>
    <row r="3" spans="1:11" x14ac:dyDescent="0.3">
      <c r="A3" t="s">
        <v>573</v>
      </c>
      <c r="B3">
        <v>2</v>
      </c>
      <c r="C3" t="s">
        <v>739</v>
      </c>
      <c r="D3" t="s">
        <v>544</v>
      </c>
      <c r="H3" t="s">
        <v>76</v>
      </c>
      <c r="I3" t="s">
        <v>540</v>
      </c>
    </row>
    <row r="4" spans="1:11" x14ac:dyDescent="0.3">
      <c r="A4" t="s">
        <v>575</v>
      </c>
      <c r="B4">
        <v>3</v>
      </c>
      <c r="C4" t="s">
        <v>740</v>
      </c>
      <c r="D4" t="s">
        <v>543</v>
      </c>
      <c r="H4" t="s">
        <v>549</v>
      </c>
      <c r="J4" t="s">
        <v>547</v>
      </c>
      <c r="K4" t="s">
        <v>550</v>
      </c>
    </row>
    <row r="5" spans="1:11" x14ac:dyDescent="0.3">
      <c r="A5" t="s">
        <v>574</v>
      </c>
      <c r="B5">
        <v>4</v>
      </c>
      <c r="C5" t="s">
        <v>738</v>
      </c>
      <c r="D5" t="s">
        <v>544</v>
      </c>
      <c r="H5" t="s">
        <v>76</v>
      </c>
      <c r="J5" t="s">
        <v>548</v>
      </c>
    </row>
    <row r="6" spans="1:11" x14ac:dyDescent="0.3">
      <c r="A6" t="s">
        <v>571</v>
      </c>
      <c r="B6">
        <v>5</v>
      </c>
      <c r="C6" t="s">
        <v>739</v>
      </c>
      <c r="D6" t="s">
        <v>544</v>
      </c>
      <c r="H6" t="s">
        <v>73</v>
      </c>
      <c r="I6" t="s">
        <v>541</v>
      </c>
      <c r="J6" t="s">
        <v>547</v>
      </c>
      <c r="K6" t="s">
        <v>552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48C0-AFAD-4795-826B-56BA77B8429F}">
  <dimension ref="A1:F6"/>
  <sheetViews>
    <sheetView workbookViewId="0">
      <selection activeCell="B12" sqref="A1:XFD1048576"/>
    </sheetView>
  </sheetViews>
  <sheetFormatPr defaultRowHeight="14.4" x14ac:dyDescent="0.3"/>
  <cols>
    <col min="1" max="1" width="31.33203125" customWidth="1"/>
    <col min="2" max="2" width="22.44140625" customWidth="1"/>
    <col min="3" max="3" width="18.88671875" customWidth="1"/>
    <col min="4" max="4" width="25.33203125" customWidth="1"/>
    <col min="5" max="5" width="24.109375" customWidth="1"/>
    <col min="6" max="6" width="71.33203125" customWidth="1"/>
  </cols>
  <sheetData>
    <row r="1" spans="1:6" ht="15" thickBot="1" x14ac:dyDescent="0.35">
      <c r="A1" s="11" t="s">
        <v>22</v>
      </c>
      <c r="B1" s="45" t="s">
        <v>62</v>
      </c>
      <c r="C1" s="80" t="s">
        <v>555</v>
      </c>
      <c r="D1" s="80" t="s">
        <v>557</v>
      </c>
      <c r="E1" s="80" t="s">
        <v>556</v>
      </c>
      <c r="F1" s="47" t="s">
        <v>81</v>
      </c>
    </row>
    <row r="2" spans="1:6" x14ac:dyDescent="0.3">
      <c r="A2" s="79" t="s">
        <v>570</v>
      </c>
      <c r="B2" t="s">
        <v>712</v>
      </c>
      <c r="C2" s="81" t="s">
        <v>558</v>
      </c>
      <c r="D2" s="81" t="s">
        <v>558</v>
      </c>
      <c r="E2" s="81" t="s">
        <v>558</v>
      </c>
      <c r="F2" t="s">
        <v>553</v>
      </c>
    </row>
    <row r="3" spans="1:6" x14ac:dyDescent="0.3">
      <c r="A3" s="79" t="s">
        <v>569</v>
      </c>
      <c r="B3" t="s">
        <v>713</v>
      </c>
      <c r="C3" s="81" t="s">
        <v>558</v>
      </c>
      <c r="D3" s="81" t="s">
        <v>558</v>
      </c>
      <c r="E3" s="81" t="s">
        <v>558</v>
      </c>
      <c r="F3" t="s">
        <v>554</v>
      </c>
    </row>
    <row r="4" spans="1:6" x14ac:dyDescent="0.3">
      <c r="A4" t="s">
        <v>571</v>
      </c>
      <c r="B4" t="s">
        <v>714</v>
      </c>
      <c r="C4" t="s">
        <v>76</v>
      </c>
      <c r="D4" t="s">
        <v>547</v>
      </c>
      <c r="E4" s="81" t="s">
        <v>558</v>
      </c>
      <c r="F4" t="s">
        <v>559</v>
      </c>
    </row>
    <row r="5" spans="1:6" x14ac:dyDescent="0.3">
      <c r="A5" t="s">
        <v>571</v>
      </c>
      <c r="B5" t="s">
        <v>715</v>
      </c>
      <c r="C5" t="s">
        <v>76</v>
      </c>
      <c r="D5" s="81" t="s">
        <v>558</v>
      </c>
      <c r="E5" t="s">
        <v>540</v>
      </c>
      <c r="F5" t="s">
        <v>560</v>
      </c>
    </row>
    <row r="6" spans="1:6" x14ac:dyDescent="0.3">
      <c r="A6" t="s">
        <v>596</v>
      </c>
      <c r="B6" t="s">
        <v>716</v>
      </c>
      <c r="C6" t="s">
        <v>76</v>
      </c>
      <c r="D6" t="s">
        <v>548</v>
      </c>
      <c r="E6" t="s">
        <v>541</v>
      </c>
      <c r="F6" t="s">
        <v>597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450D-E16E-4D4A-A22D-DDB0607EE0CF}">
  <dimension ref="A1:F6"/>
  <sheetViews>
    <sheetView workbookViewId="0">
      <selection activeCell="B5" sqref="B5"/>
    </sheetView>
  </sheetViews>
  <sheetFormatPr defaultRowHeight="14.4" x14ac:dyDescent="0.3"/>
  <cols>
    <col min="1" max="1" width="31.33203125" customWidth="1"/>
    <col min="2" max="2" width="22.44140625" customWidth="1"/>
    <col min="3" max="3" width="18.88671875" customWidth="1"/>
    <col min="4" max="4" width="25.33203125" customWidth="1"/>
    <col min="5" max="5" width="24.109375" customWidth="1"/>
    <col min="6" max="6" width="71.33203125" customWidth="1"/>
  </cols>
  <sheetData>
    <row r="1" spans="1:6" ht="15" thickBot="1" x14ac:dyDescent="0.35">
      <c r="A1" s="11" t="s">
        <v>22</v>
      </c>
      <c r="B1" s="45" t="s">
        <v>62</v>
      </c>
      <c r="C1" s="80" t="s">
        <v>555</v>
      </c>
      <c r="D1" s="80" t="s">
        <v>557</v>
      </c>
      <c r="E1" s="80" t="s">
        <v>556</v>
      </c>
      <c r="F1" s="47" t="s">
        <v>81</v>
      </c>
    </row>
    <row r="2" spans="1:6" x14ac:dyDescent="0.3">
      <c r="A2" s="79" t="s">
        <v>570</v>
      </c>
      <c r="B2" t="s">
        <v>738</v>
      </c>
      <c r="C2" s="81" t="s">
        <v>558</v>
      </c>
      <c r="D2" s="81" t="s">
        <v>558</v>
      </c>
      <c r="E2" s="81" t="s">
        <v>558</v>
      </c>
      <c r="F2" t="s">
        <v>553</v>
      </c>
    </row>
    <row r="3" spans="1:6" x14ac:dyDescent="0.3">
      <c r="A3" s="79" t="s">
        <v>569</v>
      </c>
      <c r="B3" t="s">
        <v>739</v>
      </c>
      <c r="C3" s="81" t="s">
        <v>558</v>
      </c>
      <c r="D3" s="81" t="s">
        <v>558</v>
      </c>
      <c r="E3" s="81" t="s">
        <v>558</v>
      </c>
      <c r="F3" t="s">
        <v>554</v>
      </c>
    </row>
    <row r="4" spans="1:6" x14ac:dyDescent="0.3">
      <c r="A4" t="s">
        <v>571</v>
      </c>
      <c r="B4" t="s">
        <v>740</v>
      </c>
      <c r="C4" t="s">
        <v>73</v>
      </c>
      <c r="D4" t="s">
        <v>744</v>
      </c>
      <c r="E4" s="81" t="s">
        <v>558</v>
      </c>
      <c r="F4" t="s">
        <v>559</v>
      </c>
    </row>
    <row r="5" spans="1:6" x14ac:dyDescent="0.3">
      <c r="A5" t="s">
        <v>571</v>
      </c>
      <c r="B5" t="s">
        <v>738</v>
      </c>
      <c r="C5" t="s">
        <v>73</v>
      </c>
      <c r="D5" s="81" t="s">
        <v>558</v>
      </c>
      <c r="E5" t="s">
        <v>742</v>
      </c>
      <c r="F5" t="s">
        <v>560</v>
      </c>
    </row>
    <row r="6" spans="1:6" x14ac:dyDescent="0.3">
      <c r="A6" t="s">
        <v>596</v>
      </c>
      <c r="B6" t="s">
        <v>739</v>
      </c>
      <c r="C6" t="s">
        <v>76</v>
      </c>
      <c r="D6" t="s">
        <v>745</v>
      </c>
      <c r="E6" t="s">
        <v>743</v>
      </c>
      <c r="F6" t="s">
        <v>597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BE58-C312-4E51-9434-B231E007122C}">
  <dimension ref="A1:K6"/>
  <sheetViews>
    <sheetView workbookViewId="0">
      <selection activeCell="F13" sqref="F13"/>
    </sheetView>
  </sheetViews>
  <sheetFormatPr defaultRowHeight="14.4" x14ac:dyDescent="0.3"/>
  <cols>
    <col min="1" max="1" width="36" customWidth="1"/>
    <col min="2" max="2" width="10" customWidth="1"/>
    <col min="3" max="3" width="20.109375" customWidth="1"/>
    <col min="4" max="11" width="36" customWidth="1"/>
  </cols>
  <sheetData>
    <row r="1" spans="1:11" x14ac:dyDescent="0.3">
      <c r="A1" s="213" t="s">
        <v>22</v>
      </c>
      <c r="B1" s="213" t="s">
        <v>535</v>
      </c>
      <c r="C1" s="213" t="s">
        <v>62</v>
      </c>
      <c r="D1" s="213" t="s">
        <v>542</v>
      </c>
      <c r="E1" s="213" t="s">
        <v>576</v>
      </c>
      <c r="F1" s="213" t="s">
        <v>577</v>
      </c>
      <c r="G1" s="213" t="s">
        <v>578</v>
      </c>
      <c r="H1" s="213" t="s">
        <v>536</v>
      </c>
      <c r="I1" s="213" t="s">
        <v>537</v>
      </c>
      <c r="J1" s="213" t="s">
        <v>546</v>
      </c>
      <c r="K1" s="214" t="s">
        <v>538</v>
      </c>
    </row>
    <row r="2" spans="1:11" ht="28.8" customHeight="1" x14ac:dyDescent="0.3">
      <c r="A2" s="149" t="s">
        <v>572</v>
      </c>
      <c r="B2" s="149">
        <v>1</v>
      </c>
      <c r="C2" s="149" t="s">
        <v>787</v>
      </c>
      <c r="D2" s="149" t="s">
        <v>543</v>
      </c>
      <c r="E2" t="s">
        <v>579</v>
      </c>
      <c r="F2" t="s">
        <v>580</v>
      </c>
      <c r="G2" t="s">
        <v>581</v>
      </c>
      <c r="H2" s="149" t="s">
        <v>47</v>
      </c>
      <c r="I2" s="149" t="s">
        <v>778</v>
      </c>
      <c r="J2" s="149"/>
      <c r="K2" s="149" t="s">
        <v>551</v>
      </c>
    </row>
    <row r="3" spans="1:11" ht="28.8" customHeight="1" x14ac:dyDescent="0.3">
      <c r="A3" s="149" t="s">
        <v>573</v>
      </c>
      <c r="B3" s="149">
        <v>2</v>
      </c>
      <c r="C3" s="149" t="s">
        <v>788</v>
      </c>
      <c r="D3" s="149" t="s">
        <v>544</v>
      </c>
      <c r="E3" s="149"/>
      <c r="F3" s="149"/>
      <c r="G3" s="149"/>
      <c r="H3" s="149" t="s">
        <v>76</v>
      </c>
      <c r="I3" s="149" t="s">
        <v>779</v>
      </c>
      <c r="J3" s="149"/>
      <c r="K3" s="149"/>
    </row>
    <row r="4" spans="1:11" ht="28.8" customHeight="1" x14ac:dyDescent="0.3">
      <c r="A4" s="149" t="s">
        <v>575</v>
      </c>
      <c r="B4" s="149">
        <v>3</v>
      </c>
      <c r="C4" s="149" t="s">
        <v>791</v>
      </c>
      <c r="D4" s="149" t="s">
        <v>543</v>
      </c>
      <c r="E4" s="149"/>
      <c r="F4" s="149"/>
      <c r="G4" s="149"/>
      <c r="H4" s="149" t="s">
        <v>549</v>
      </c>
      <c r="I4" s="149"/>
      <c r="J4" s="149" t="s">
        <v>534</v>
      </c>
      <c r="K4" s="149" t="s">
        <v>550</v>
      </c>
    </row>
    <row r="5" spans="1:11" ht="28.8" customHeight="1" x14ac:dyDescent="0.3">
      <c r="A5" s="149" t="s">
        <v>574</v>
      </c>
      <c r="B5" s="149">
        <v>4</v>
      </c>
      <c r="C5" s="149" t="s">
        <v>793</v>
      </c>
      <c r="D5" s="149" t="s">
        <v>544</v>
      </c>
      <c r="E5" s="149"/>
      <c r="F5" s="149"/>
      <c r="G5" s="149"/>
      <c r="H5" s="149" t="s">
        <v>76</v>
      </c>
      <c r="I5" s="149"/>
      <c r="J5" s="149" t="s">
        <v>780</v>
      </c>
      <c r="K5" s="149"/>
    </row>
    <row r="6" spans="1:11" ht="28.8" customHeight="1" x14ac:dyDescent="0.3">
      <c r="A6" s="149" t="s">
        <v>571</v>
      </c>
      <c r="B6" s="149">
        <v>5</v>
      </c>
      <c r="C6" s="149" t="s">
        <v>790</v>
      </c>
      <c r="D6" s="149" t="s">
        <v>544</v>
      </c>
      <c r="E6" s="149"/>
      <c r="F6" s="149"/>
      <c r="G6" s="149"/>
      <c r="H6" s="149" t="s">
        <v>73</v>
      </c>
      <c r="I6" s="149" t="s">
        <v>778</v>
      </c>
      <c r="J6" s="149" t="s">
        <v>534</v>
      </c>
      <c r="K6" s="149" t="s">
        <v>552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E2F8-DCD2-441D-8D15-1118A276B7AE}">
  <dimension ref="A1:K6"/>
  <sheetViews>
    <sheetView workbookViewId="0">
      <selection activeCell="B12" sqref="B12"/>
    </sheetView>
  </sheetViews>
  <sheetFormatPr defaultRowHeight="14.4" x14ac:dyDescent="0.3"/>
  <cols>
    <col min="1" max="11" width="19.77734375" customWidth="1"/>
  </cols>
  <sheetData>
    <row r="1" spans="1:11" ht="43.2" x14ac:dyDescent="0.3">
      <c r="A1" s="213" t="s">
        <v>22</v>
      </c>
      <c r="B1" s="213" t="s">
        <v>535</v>
      </c>
      <c r="C1" s="213" t="s">
        <v>62</v>
      </c>
      <c r="D1" s="213" t="s">
        <v>542</v>
      </c>
      <c r="E1" s="213" t="s">
        <v>576</v>
      </c>
      <c r="F1" s="213" t="s">
        <v>577</v>
      </c>
      <c r="G1" s="213" t="s">
        <v>578</v>
      </c>
      <c r="H1" s="213" t="s">
        <v>536</v>
      </c>
      <c r="I1" s="213" t="s">
        <v>537</v>
      </c>
      <c r="J1" s="213" t="s">
        <v>546</v>
      </c>
      <c r="K1" s="214" t="s">
        <v>538</v>
      </c>
    </row>
    <row r="2" spans="1:11" ht="33.6" customHeight="1" x14ac:dyDescent="0.3">
      <c r="A2" s="149" t="s">
        <v>572</v>
      </c>
      <c r="B2" s="149">
        <v>1</v>
      </c>
      <c r="C2" s="149" t="s">
        <v>824</v>
      </c>
      <c r="D2" s="149" t="s">
        <v>543</v>
      </c>
      <c r="E2" s="149" t="s">
        <v>579</v>
      </c>
      <c r="F2" s="149" t="s">
        <v>580</v>
      </c>
      <c r="G2" s="149" t="s">
        <v>581</v>
      </c>
      <c r="H2" s="149" t="s">
        <v>47</v>
      </c>
      <c r="I2" s="149" t="s">
        <v>778</v>
      </c>
      <c r="J2" s="149"/>
      <c r="K2" s="149" t="s">
        <v>551</v>
      </c>
    </row>
    <row r="3" spans="1:11" ht="33.6" customHeight="1" x14ac:dyDescent="0.3">
      <c r="A3" s="149" t="s">
        <v>573</v>
      </c>
      <c r="B3" s="149">
        <v>2</v>
      </c>
      <c r="C3" s="149" t="s">
        <v>823</v>
      </c>
      <c r="D3" s="149" t="s">
        <v>544</v>
      </c>
      <c r="E3" s="149"/>
      <c r="F3" s="149"/>
      <c r="G3" s="149"/>
      <c r="H3" s="149" t="s">
        <v>76</v>
      </c>
      <c r="I3" s="149" t="s">
        <v>779</v>
      </c>
      <c r="J3" s="149"/>
      <c r="K3" s="149"/>
    </row>
    <row r="4" spans="1:11" ht="33.6" customHeight="1" x14ac:dyDescent="0.3">
      <c r="A4" s="149" t="s">
        <v>575</v>
      </c>
      <c r="B4" s="149">
        <v>3</v>
      </c>
      <c r="C4" s="149" t="s">
        <v>822</v>
      </c>
      <c r="D4" s="149" t="s">
        <v>543</v>
      </c>
      <c r="E4" s="149"/>
      <c r="F4" s="149"/>
      <c r="G4" s="149"/>
      <c r="H4" s="149" t="s">
        <v>549</v>
      </c>
      <c r="I4" s="149"/>
      <c r="J4" s="149" t="s">
        <v>780</v>
      </c>
      <c r="K4" s="149" t="s">
        <v>550</v>
      </c>
    </row>
    <row r="5" spans="1:11" ht="33.6" customHeight="1" x14ac:dyDescent="0.3">
      <c r="A5" s="149" t="s">
        <v>574</v>
      </c>
      <c r="B5" s="149">
        <v>4</v>
      </c>
      <c r="C5" s="149" t="s">
        <v>821</v>
      </c>
      <c r="D5" s="149" t="s">
        <v>544</v>
      </c>
      <c r="E5" s="149"/>
      <c r="F5" s="149"/>
      <c r="G5" s="149"/>
      <c r="H5" s="149" t="s">
        <v>76</v>
      </c>
      <c r="I5" s="149"/>
      <c r="J5" s="149" t="s">
        <v>825</v>
      </c>
      <c r="K5" s="149"/>
    </row>
    <row r="6" spans="1:11" ht="33.6" customHeight="1" x14ac:dyDescent="0.3">
      <c r="A6" s="149" t="s">
        <v>571</v>
      </c>
      <c r="B6" s="149">
        <v>5</v>
      </c>
      <c r="C6" s="149" t="s">
        <v>819</v>
      </c>
      <c r="D6" s="149" t="s">
        <v>544</v>
      </c>
      <c r="E6" s="149"/>
      <c r="F6" s="149"/>
      <c r="G6" s="149"/>
      <c r="H6" s="149" t="s">
        <v>73</v>
      </c>
      <c r="I6" s="149" t="s">
        <v>778</v>
      </c>
      <c r="J6" s="149" t="s">
        <v>780</v>
      </c>
      <c r="K6" s="149" t="s">
        <v>552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88E5-9A86-48AE-9F0A-4B1083E5BF9F}">
  <dimension ref="A1:F6"/>
  <sheetViews>
    <sheetView workbookViewId="0">
      <selection activeCell="F16" sqref="F16"/>
    </sheetView>
  </sheetViews>
  <sheetFormatPr defaultRowHeight="14.4" x14ac:dyDescent="0.3"/>
  <cols>
    <col min="1" max="6" width="25" customWidth="1"/>
  </cols>
  <sheetData>
    <row r="1" spans="1:6" ht="43.8" thickBot="1" x14ac:dyDescent="0.35">
      <c r="A1" s="174" t="s">
        <v>22</v>
      </c>
      <c r="B1" s="175" t="s">
        <v>62</v>
      </c>
      <c r="C1" s="218" t="s">
        <v>555</v>
      </c>
      <c r="D1" s="218" t="s">
        <v>557</v>
      </c>
      <c r="E1" s="218" t="s">
        <v>556</v>
      </c>
      <c r="F1" s="210" t="s">
        <v>81</v>
      </c>
    </row>
    <row r="2" spans="1:6" ht="52.8" customHeight="1" x14ac:dyDescent="0.3">
      <c r="A2" s="215" t="s">
        <v>570</v>
      </c>
      <c r="B2" s="149" t="s">
        <v>790</v>
      </c>
      <c r="C2" s="152" t="s">
        <v>558</v>
      </c>
      <c r="D2" s="152" t="s">
        <v>558</v>
      </c>
      <c r="E2" s="152" t="s">
        <v>558</v>
      </c>
      <c r="F2" s="149" t="s">
        <v>553</v>
      </c>
    </row>
    <row r="3" spans="1:6" ht="52.8" customHeight="1" x14ac:dyDescent="0.3">
      <c r="A3" s="215" t="s">
        <v>569</v>
      </c>
      <c r="B3" s="149" t="s">
        <v>789</v>
      </c>
      <c r="C3" s="152" t="s">
        <v>558</v>
      </c>
      <c r="D3" s="152" t="s">
        <v>558</v>
      </c>
      <c r="E3" s="152" t="s">
        <v>558</v>
      </c>
      <c r="F3" s="149" t="s">
        <v>554</v>
      </c>
    </row>
    <row r="4" spans="1:6" ht="52.8" customHeight="1" x14ac:dyDescent="0.3">
      <c r="A4" s="149" t="s">
        <v>571</v>
      </c>
      <c r="B4" s="149" t="s">
        <v>791</v>
      </c>
      <c r="C4" s="149" t="s">
        <v>73</v>
      </c>
      <c r="D4" s="149" t="s">
        <v>780</v>
      </c>
      <c r="E4" s="152" t="s">
        <v>558</v>
      </c>
      <c r="F4" s="149" t="s">
        <v>559</v>
      </c>
    </row>
    <row r="5" spans="1:6" ht="52.8" customHeight="1" x14ac:dyDescent="0.3">
      <c r="A5" s="149" t="s">
        <v>571</v>
      </c>
      <c r="B5" s="149" t="s">
        <v>788</v>
      </c>
      <c r="C5" s="149" t="s">
        <v>73</v>
      </c>
      <c r="D5" s="152" t="s">
        <v>558</v>
      </c>
      <c r="E5" s="149" t="s">
        <v>779</v>
      </c>
      <c r="F5" s="149" t="s">
        <v>560</v>
      </c>
    </row>
    <row r="6" spans="1:6" ht="52.8" customHeight="1" x14ac:dyDescent="0.3">
      <c r="A6" s="149" t="s">
        <v>596</v>
      </c>
      <c r="B6" s="149" t="s">
        <v>792</v>
      </c>
      <c r="C6" s="149" t="s">
        <v>76</v>
      </c>
      <c r="D6" s="149" t="s">
        <v>534</v>
      </c>
      <c r="E6" s="149" t="s">
        <v>778</v>
      </c>
      <c r="F6" s="149" t="s">
        <v>597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EF13-2850-4857-A5A4-1BBC8F1565A3}">
  <dimension ref="A1:F6"/>
  <sheetViews>
    <sheetView tabSelected="1" workbookViewId="0">
      <selection activeCell="C5" sqref="C5"/>
    </sheetView>
  </sheetViews>
  <sheetFormatPr defaultRowHeight="14.4" x14ac:dyDescent="0.3"/>
  <cols>
    <col min="1" max="6" width="49.33203125" customWidth="1"/>
  </cols>
  <sheetData>
    <row r="1" spans="1:6" ht="43.8" thickBot="1" x14ac:dyDescent="0.35">
      <c r="A1" s="174" t="s">
        <v>22</v>
      </c>
      <c r="B1" s="175" t="s">
        <v>62</v>
      </c>
      <c r="C1" s="218" t="s">
        <v>555</v>
      </c>
      <c r="D1" s="218" t="s">
        <v>557</v>
      </c>
      <c r="E1" s="218" t="s">
        <v>556</v>
      </c>
      <c r="F1" s="210" t="s">
        <v>81</v>
      </c>
    </row>
    <row r="2" spans="1:6" ht="83.4" customHeight="1" x14ac:dyDescent="0.3">
      <c r="A2" s="215" t="s">
        <v>570</v>
      </c>
      <c r="B2" s="149" t="s">
        <v>819</v>
      </c>
      <c r="C2" s="152" t="s">
        <v>558</v>
      </c>
      <c r="D2" s="152" t="s">
        <v>558</v>
      </c>
      <c r="E2" s="152" t="s">
        <v>558</v>
      </c>
      <c r="F2" s="149" t="s">
        <v>553</v>
      </c>
    </row>
    <row r="3" spans="1:6" ht="83.4" customHeight="1" x14ac:dyDescent="0.3">
      <c r="A3" s="215" t="s">
        <v>569</v>
      </c>
      <c r="B3" s="149" t="s">
        <v>820</v>
      </c>
      <c r="C3" s="152" t="s">
        <v>558</v>
      </c>
      <c r="D3" s="152" t="s">
        <v>558</v>
      </c>
      <c r="E3" s="152" t="s">
        <v>558</v>
      </c>
      <c r="F3" s="149" t="s">
        <v>554</v>
      </c>
    </row>
    <row r="4" spans="1:6" ht="83.4" customHeight="1" x14ac:dyDescent="0.3">
      <c r="A4" s="149" t="s">
        <v>571</v>
      </c>
      <c r="B4" s="149" t="s">
        <v>821</v>
      </c>
      <c r="C4" s="149" t="s">
        <v>73</v>
      </c>
      <c r="D4" s="149" t="s">
        <v>825</v>
      </c>
      <c r="E4" s="152" t="s">
        <v>558</v>
      </c>
      <c r="F4" s="149" t="s">
        <v>559</v>
      </c>
    </row>
    <row r="5" spans="1:6" ht="83.4" customHeight="1" x14ac:dyDescent="0.3">
      <c r="A5" s="149" t="s">
        <v>571</v>
      </c>
      <c r="B5" s="149" t="s">
        <v>822</v>
      </c>
      <c r="C5" s="149" t="s">
        <v>73</v>
      </c>
      <c r="D5" s="152" t="s">
        <v>558</v>
      </c>
      <c r="E5" s="149" t="s">
        <v>779</v>
      </c>
      <c r="F5" s="149" t="s">
        <v>560</v>
      </c>
    </row>
    <row r="6" spans="1:6" ht="83.4" customHeight="1" x14ac:dyDescent="0.3">
      <c r="A6" s="149" t="s">
        <v>596</v>
      </c>
      <c r="B6" s="149" t="s">
        <v>823</v>
      </c>
      <c r="C6" s="149" t="s">
        <v>76</v>
      </c>
      <c r="D6" s="149" t="s">
        <v>780</v>
      </c>
      <c r="E6" s="149" t="s">
        <v>778</v>
      </c>
      <c r="F6" s="149" t="s">
        <v>597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BAD0-4C64-432C-ABA0-0B5C5B557CF7}">
  <dimension ref="A1:N7"/>
  <sheetViews>
    <sheetView workbookViewId="0">
      <selection activeCell="I14" sqref="I14"/>
    </sheetView>
  </sheetViews>
  <sheetFormatPr defaultRowHeight="14.4" x14ac:dyDescent="0.3"/>
  <cols>
    <col min="1" max="14" width="20.6640625" customWidth="1"/>
  </cols>
  <sheetData>
    <row r="1" spans="1:14" ht="28.8" customHeight="1" thickBot="1" x14ac:dyDescent="0.35">
      <c r="A1" s="143" t="s">
        <v>22</v>
      </c>
      <c r="B1" s="144" t="s">
        <v>17</v>
      </c>
      <c r="C1" s="145" t="s">
        <v>41</v>
      </c>
      <c r="D1" s="146" t="s">
        <v>62</v>
      </c>
      <c r="E1" s="147" t="s">
        <v>66</v>
      </c>
      <c r="F1" s="147" t="s">
        <v>608</v>
      </c>
      <c r="G1" s="147" t="s">
        <v>611</v>
      </c>
      <c r="H1" s="147" t="s">
        <v>612</v>
      </c>
      <c r="I1" s="147" t="s">
        <v>613</v>
      </c>
      <c r="J1" s="147" t="s">
        <v>616</v>
      </c>
      <c r="K1" s="147" t="s">
        <v>617</v>
      </c>
      <c r="L1" s="147" t="s">
        <v>622</v>
      </c>
      <c r="M1" s="147" t="s">
        <v>624</v>
      </c>
      <c r="N1" s="148" t="s">
        <v>81</v>
      </c>
    </row>
    <row r="2" spans="1:14" ht="28.8" customHeight="1" x14ac:dyDescent="0.3">
      <c r="A2" s="149" t="s">
        <v>606</v>
      </c>
      <c r="B2" s="150" t="s">
        <v>18</v>
      </c>
      <c r="C2" s="151" t="s">
        <v>13</v>
      </c>
      <c r="D2" s="149" t="s">
        <v>754</v>
      </c>
      <c r="E2" s="149" t="s">
        <v>610</v>
      </c>
      <c r="F2" s="149" t="s">
        <v>609</v>
      </c>
      <c r="G2" s="150">
        <v>2</v>
      </c>
      <c r="H2" s="149" t="s">
        <v>543</v>
      </c>
      <c r="I2" s="149" t="s">
        <v>614</v>
      </c>
      <c r="J2" s="152"/>
      <c r="K2" s="152"/>
      <c r="L2" s="152"/>
      <c r="M2" s="152"/>
      <c r="N2" s="149" t="s">
        <v>630</v>
      </c>
    </row>
    <row r="3" spans="1:14" ht="28.8" customHeight="1" x14ac:dyDescent="0.3">
      <c r="A3" s="149" t="s">
        <v>615</v>
      </c>
      <c r="B3" s="150" t="s">
        <v>18</v>
      </c>
      <c r="C3" s="151" t="s">
        <v>13</v>
      </c>
      <c r="D3" s="149" t="s">
        <v>755</v>
      </c>
      <c r="E3" s="149" t="s">
        <v>610</v>
      </c>
      <c r="F3" s="152"/>
      <c r="G3" s="150">
        <v>2</v>
      </c>
      <c r="H3" s="149" t="s">
        <v>543</v>
      </c>
      <c r="I3" s="149" t="s">
        <v>614</v>
      </c>
      <c r="J3" s="149" t="s">
        <v>619</v>
      </c>
      <c r="K3" s="149" t="s">
        <v>618</v>
      </c>
      <c r="L3" s="149"/>
      <c r="M3" s="149"/>
      <c r="N3" s="149" t="s">
        <v>631</v>
      </c>
    </row>
    <row r="4" spans="1:14" ht="28.8" customHeight="1" x14ac:dyDescent="0.3">
      <c r="A4" s="149" t="s">
        <v>620</v>
      </c>
      <c r="B4" s="150" t="s">
        <v>18</v>
      </c>
      <c r="C4" s="151" t="s">
        <v>13</v>
      </c>
      <c r="D4" s="149" t="s">
        <v>756</v>
      </c>
      <c r="E4" s="149" t="s">
        <v>610</v>
      </c>
      <c r="F4" s="152"/>
      <c r="G4" s="150">
        <v>2</v>
      </c>
      <c r="H4" s="149" t="s">
        <v>544</v>
      </c>
      <c r="I4" s="149"/>
      <c r="J4" s="149"/>
      <c r="K4" s="149"/>
      <c r="L4" s="149" t="s">
        <v>757</v>
      </c>
      <c r="M4" s="150" t="s">
        <v>18</v>
      </c>
      <c r="N4" s="149" t="s">
        <v>621</v>
      </c>
    </row>
    <row r="5" spans="1:14" ht="28.8" customHeight="1" x14ac:dyDescent="0.3">
      <c r="A5" s="149" t="s">
        <v>625</v>
      </c>
      <c r="B5" s="150" t="s">
        <v>18</v>
      </c>
      <c r="C5" s="151" t="s">
        <v>13</v>
      </c>
      <c r="D5" s="149" t="s">
        <v>758</v>
      </c>
      <c r="E5" s="149" t="s">
        <v>610</v>
      </c>
      <c r="F5" s="152"/>
      <c r="G5" s="150">
        <v>2</v>
      </c>
      <c r="H5" s="149" t="s">
        <v>544</v>
      </c>
      <c r="I5" s="149"/>
      <c r="J5" s="149"/>
      <c r="K5" s="149"/>
      <c r="L5" s="149" t="s">
        <v>757</v>
      </c>
      <c r="M5" s="150" t="s">
        <v>18</v>
      </c>
      <c r="N5" s="149" t="s">
        <v>626</v>
      </c>
    </row>
    <row r="6" spans="1:14" ht="28.8" customHeight="1" x14ac:dyDescent="0.3">
      <c r="A6" s="149" t="s">
        <v>627</v>
      </c>
      <c r="B6" s="150" t="s">
        <v>18</v>
      </c>
      <c r="C6" s="151" t="s">
        <v>13</v>
      </c>
      <c r="D6" s="149" t="s">
        <v>759</v>
      </c>
      <c r="E6" s="149" t="s">
        <v>69</v>
      </c>
      <c r="F6" s="152"/>
      <c r="G6" s="150">
        <v>2</v>
      </c>
      <c r="H6" s="149" t="s">
        <v>543</v>
      </c>
      <c r="I6" s="149" t="s">
        <v>614</v>
      </c>
      <c r="J6" s="149"/>
      <c r="K6" s="149"/>
      <c r="L6" s="149"/>
      <c r="M6" s="149"/>
      <c r="N6" s="149" t="s">
        <v>632</v>
      </c>
    </row>
    <row r="7" spans="1:14" ht="28.8" customHeight="1" x14ac:dyDescent="0.3">
      <c r="A7" s="149" t="s">
        <v>628</v>
      </c>
      <c r="B7" s="150" t="s">
        <v>18</v>
      </c>
      <c r="C7" s="151" t="s">
        <v>13</v>
      </c>
      <c r="D7" s="149" t="s">
        <v>760</v>
      </c>
      <c r="E7" s="149" t="s">
        <v>610</v>
      </c>
      <c r="F7" s="152"/>
      <c r="G7" s="150">
        <v>2</v>
      </c>
      <c r="H7" s="149" t="s">
        <v>543</v>
      </c>
      <c r="I7" s="149" t="s">
        <v>614</v>
      </c>
      <c r="J7" s="149" t="s">
        <v>604</v>
      </c>
      <c r="K7" s="149"/>
      <c r="L7" s="149"/>
      <c r="M7" s="149"/>
      <c r="N7" s="149" t="s">
        <v>629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9CA2-533D-420F-8CFB-D99D4037E23C}">
  <dimension ref="A1:N7"/>
  <sheetViews>
    <sheetView workbookViewId="0">
      <selection activeCell="J16" sqref="J16"/>
    </sheetView>
  </sheetViews>
  <sheetFormatPr defaultRowHeight="14.4" x14ac:dyDescent="0.3"/>
  <cols>
    <col min="1" max="14" width="22.77734375" customWidth="1"/>
  </cols>
  <sheetData>
    <row r="1" spans="1:14" ht="66.599999999999994" customHeight="1" thickBot="1" x14ac:dyDescent="0.35">
      <c r="A1" s="143" t="s">
        <v>22</v>
      </c>
      <c r="B1" s="144" t="s">
        <v>17</v>
      </c>
      <c r="C1" s="145" t="s">
        <v>41</v>
      </c>
      <c r="D1" s="146" t="s">
        <v>62</v>
      </c>
      <c r="E1" s="147" t="s">
        <v>66</v>
      </c>
      <c r="F1" s="147" t="s">
        <v>608</v>
      </c>
      <c r="G1" s="147" t="s">
        <v>611</v>
      </c>
      <c r="H1" s="147" t="s">
        <v>612</v>
      </c>
      <c r="I1" s="147" t="s">
        <v>613</v>
      </c>
      <c r="J1" s="147" t="s">
        <v>616</v>
      </c>
      <c r="K1" s="147" t="s">
        <v>617</v>
      </c>
      <c r="L1" s="147" t="s">
        <v>622</v>
      </c>
      <c r="M1" s="147" t="s">
        <v>624</v>
      </c>
      <c r="N1" s="148" t="s">
        <v>81</v>
      </c>
    </row>
    <row r="2" spans="1:14" ht="66.599999999999994" customHeight="1" x14ac:dyDescent="0.3">
      <c r="A2" s="149" t="s">
        <v>606</v>
      </c>
      <c r="B2" s="150" t="s">
        <v>18</v>
      </c>
      <c r="C2" s="151" t="s">
        <v>13</v>
      </c>
      <c r="D2" s="149" t="s">
        <v>799</v>
      </c>
      <c r="E2" s="149" t="s">
        <v>610</v>
      </c>
      <c r="F2" s="149" t="s">
        <v>609</v>
      </c>
      <c r="G2" s="150">
        <v>2</v>
      </c>
      <c r="H2" s="149" t="s">
        <v>543</v>
      </c>
      <c r="I2" s="149" t="s">
        <v>614</v>
      </c>
      <c r="J2" s="152"/>
      <c r="K2" s="152"/>
      <c r="L2" s="152"/>
      <c r="M2" s="152"/>
      <c r="N2" s="149" t="s">
        <v>630</v>
      </c>
    </row>
    <row r="3" spans="1:14" ht="66.599999999999994" customHeight="1" x14ac:dyDescent="0.3">
      <c r="A3" s="149" t="s">
        <v>615</v>
      </c>
      <c r="B3" s="150" t="s">
        <v>18</v>
      </c>
      <c r="C3" s="151" t="s">
        <v>13</v>
      </c>
      <c r="D3" s="149" t="s">
        <v>800</v>
      </c>
      <c r="E3" s="149" t="s">
        <v>610</v>
      </c>
      <c r="F3" s="152"/>
      <c r="G3" s="150">
        <v>2</v>
      </c>
      <c r="H3" s="149" t="s">
        <v>543</v>
      </c>
      <c r="I3" s="149"/>
      <c r="J3" s="149" t="s">
        <v>619</v>
      </c>
      <c r="K3" s="149" t="s">
        <v>618</v>
      </c>
      <c r="L3" s="149"/>
      <c r="M3" s="149"/>
      <c r="N3" s="149" t="s">
        <v>631</v>
      </c>
    </row>
    <row r="4" spans="1:14" ht="66.599999999999994" customHeight="1" x14ac:dyDescent="0.3">
      <c r="A4" s="149" t="s">
        <v>620</v>
      </c>
      <c r="B4" s="150" t="s">
        <v>18</v>
      </c>
      <c r="C4" s="151" t="s">
        <v>13</v>
      </c>
      <c r="D4" s="149" t="s">
        <v>801</v>
      </c>
      <c r="E4" s="149" t="s">
        <v>610</v>
      </c>
      <c r="F4" s="152"/>
      <c r="G4" s="150">
        <v>2</v>
      </c>
      <c r="H4" s="149" t="s">
        <v>544</v>
      </c>
      <c r="I4" s="149"/>
      <c r="J4" s="149"/>
      <c r="K4" s="149"/>
      <c r="L4" s="149" t="s">
        <v>623</v>
      </c>
      <c r="M4" s="150" t="s">
        <v>18</v>
      </c>
      <c r="N4" s="149" t="s">
        <v>621</v>
      </c>
    </row>
    <row r="5" spans="1:14" ht="66.599999999999994" customHeight="1" x14ac:dyDescent="0.3">
      <c r="A5" s="149" t="s">
        <v>625</v>
      </c>
      <c r="B5" s="150" t="s">
        <v>18</v>
      </c>
      <c r="C5" s="151" t="s">
        <v>13</v>
      </c>
      <c r="D5" s="149" t="s">
        <v>802</v>
      </c>
      <c r="E5" s="149" t="s">
        <v>610</v>
      </c>
      <c r="F5" s="152"/>
      <c r="G5" s="150">
        <v>2</v>
      </c>
      <c r="H5" s="149" t="s">
        <v>544</v>
      </c>
      <c r="I5" s="149"/>
      <c r="J5" s="149"/>
      <c r="K5" s="149"/>
      <c r="L5" s="149" t="s">
        <v>623</v>
      </c>
      <c r="M5" s="150" t="s">
        <v>18</v>
      </c>
      <c r="N5" s="149" t="s">
        <v>626</v>
      </c>
    </row>
    <row r="6" spans="1:14" ht="66.599999999999994" customHeight="1" x14ac:dyDescent="0.3">
      <c r="A6" s="149" t="s">
        <v>627</v>
      </c>
      <c r="B6" s="150" t="s">
        <v>18</v>
      </c>
      <c r="C6" s="151" t="s">
        <v>13</v>
      </c>
      <c r="D6" s="149" t="s">
        <v>803</v>
      </c>
      <c r="E6" s="149" t="s">
        <v>69</v>
      </c>
      <c r="F6" s="152"/>
      <c r="G6" s="150">
        <v>2</v>
      </c>
      <c r="H6" s="149" t="s">
        <v>543</v>
      </c>
      <c r="I6" s="149" t="s">
        <v>614</v>
      </c>
      <c r="J6" s="149"/>
      <c r="K6" s="149"/>
      <c r="L6" s="149"/>
      <c r="M6" s="149"/>
      <c r="N6" s="149" t="s">
        <v>632</v>
      </c>
    </row>
    <row r="7" spans="1:14" ht="66.599999999999994" customHeight="1" x14ac:dyDescent="0.3">
      <c r="A7" s="149" t="s">
        <v>628</v>
      </c>
      <c r="B7" s="150" t="s">
        <v>18</v>
      </c>
      <c r="C7" s="151" t="s">
        <v>13</v>
      </c>
      <c r="D7" s="149" t="s">
        <v>804</v>
      </c>
      <c r="E7" s="149" t="s">
        <v>610</v>
      </c>
      <c r="F7" s="152"/>
      <c r="G7" s="150">
        <v>2</v>
      </c>
      <c r="H7" s="149" t="s">
        <v>543</v>
      </c>
      <c r="I7" s="149" t="s">
        <v>614</v>
      </c>
      <c r="J7" s="149" t="s">
        <v>604</v>
      </c>
      <c r="K7" s="149"/>
      <c r="L7" s="149"/>
      <c r="M7" s="149"/>
      <c r="N7" s="149" t="s">
        <v>629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0FD4-390C-423B-BD37-1F2C28447FF2}">
  <dimension ref="A1:N8"/>
  <sheetViews>
    <sheetView workbookViewId="0">
      <selection activeCell="I3" sqref="I3"/>
    </sheetView>
  </sheetViews>
  <sheetFormatPr defaultRowHeight="14.4" x14ac:dyDescent="0.3"/>
  <cols>
    <col min="1" max="1" width="8.33203125" bestFit="1" customWidth="1"/>
    <col min="2" max="2" width="16.88671875" bestFit="1" customWidth="1"/>
    <col min="3" max="3" width="28.5546875" customWidth="1"/>
    <col min="4" max="5" width="22.88671875" customWidth="1"/>
    <col min="6" max="6" width="16.5546875" customWidth="1"/>
    <col min="7" max="7" width="15.5546875" customWidth="1"/>
    <col min="8" max="8" width="22.5546875" customWidth="1"/>
    <col min="9" max="13" width="12" customWidth="1"/>
    <col min="14" max="14" width="34.109375" customWidth="1"/>
  </cols>
  <sheetData>
    <row r="1" spans="1:14" s="40" customFormat="1" ht="43.8" thickBot="1" x14ac:dyDescent="0.35">
      <c r="A1" s="98" t="s">
        <v>22</v>
      </c>
      <c r="B1" s="12" t="s">
        <v>17</v>
      </c>
      <c r="C1" s="14" t="s">
        <v>41</v>
      </c>
      <c r="D1" s="100" t="s">
        <v>62</v>
      </c>
      <c r="E1" s="101" t="s">
        <v>66</v>
      </c>
      <c r="F1" s="101" t="s">
        <v>608</v>
      </c>
      <c r="G1" s="101" t="s">
        <v>611</v>
      </c>
      <c r="H1" s="101" t="s">
        <v>612</v>
      </c>
      <c r="I1" s="101" t="s">
        <v>613</v>
      </c>
      <c r="J1" s="101" t="s">
        <v>616</v>
      </c>
      <c r="K1" s="101" t="s">
        <v>617</v>
      </c>
      <c r="L1" s="101" t="s">
        <v>622</v>
      </c>
      <c r="M1" s="103" t="s">
        <v>624</v>
      </c>
      <c r="N1" s="99" t="s">
        <v>81</v>
      </c>
    </row>
    <row r="2" spans="1:14" s="40" customFormat="1" ht="48.75" customHeight="1" x14ac:dyDescent="0.3">
      <c r="A2" s="40" t="s">
        <v>606</v>
      </c>
      <c r="B2" s="29" t="s">
        <v>18</v>
      </c>
      <c r="C2" s="97" t="s">
        <v>13</v>
      </c>
      <c r="D2" t="s">
        <v>717</v>
      </c>
      <c r="E2" s="40" t="s">
        <v>610</v>
      </c>
      <c r="F2" s="40" t="s">
        <v>609</v>
      </c>
      <c r="G2" s="102">
        <v>2</v>
      </c>
      <c r="H2" s="40" t="s">
        <v>543</v>
      </c>
      <c r="I2" s="40" t="s">
        <v>614</v>
      </c>
      <c r="J2" s="81"/>
      <c r="K2" s="81"/>
      <c r="L2" s="81"/>
      <c r="M2" s="81"/>
      <c r="N2" s="40" t="s">
        <v>630</v>
      </c>
    </row>
    <row r="3" spans="1:14" s="40" customFormat="1" ht="28.8" x14ac:dyDescent="0.3">
      <c r="A3" s="40" t="s">
        <v>615</v>
      </c>
      <c r="B3" s="29" t="s">
        <v>18</v>
      </c>
      <c r="C3" s="97" t="s">
        <v>13</v>
      </c>
      <c r="D3" t="s">
        <v>718</v>
      </c>
      <c r="E3" s="40" t="s">
        <v>610</v>
      </c>
      <c r="F3" s="81"/>
      <c r="G3" s="102">
        <v>2</v>
      </c>
      <c r="H3" s="40" t="s">
        <v>543</v>
      </c>
      <c r="J3" s="40" t="s">
        <v>619</v>
      </c>
      <c r="K3" s="40" t="s">
        <v>618</v>
      </c>
      <c r="N3" s="40" t="s">
        <v>631</v>
      </c>
    </row>
    <row r="4" spans="1:14" s="40" customFormat="1" ht="28.8" x14ac:dyDescent="0.3">
      <c r="A4" s="40" t="s">
        <v>620</v>
      </c>
      <c r="B4" s="29" t="s">
        <v>18</v>
      </c>
      <c r="C4" s="97" t="s">
        <v>13</v>
      </c>
      <c r="D4" t="s">
        <v>719</v>
      </c>
      <c r="E4" s="40" t="s">
        <v>610</v>
      </c>
      <c r="F4" s="81"/>
      <c r="G4" s="102">
        <v>2</v>
      </c>
      <c r="H4" s="40" t="s">
        <v>544</v>
      </c>
      <c r="L4" s="40" t="s">
        <v>623</v>
      </c>
      <c r="M4" s="29" t="s">
        <v>18</v>
      </c>
      <c r="N4" s="40" t="s">
        <v>621</v>
      </c>
    </row>
    <row r="5" spans="1:14" s="40" customFormat="1" ht="28.8" x14ac:dyDescent="0.3">
      <c r="A5" s="40" t="s">
        <v>625</v>
      </c>
      <c r="B5" s="29" t="s">
        <v>18</v>
      </c>
      <c r="C5" s="97" t="s">
        <v>13</v>
      </c>
      <c r="D5" t="s">
        <v>720</v>
      </c>
      <c r="E5" s="40" t="s">
        <v>610</v>
      </c>
      <c r="F5" s="81"/>
      <c r="G5" s="102">
        <v>2</v>
      </c>
      <c r="H5" s="40" t="s">
        <v>544</v>
      </c>
      <c r="L5" s="40" t="s">
        <v>623</v>
      </c>
      <c r="M5" s="29" t="s">
        <v>18</v>
      </c>
      <c r="N5" s="40" t="s">
        <v>626</v>
      </c>
    </row>
    <row r="6" spans="1:14" s="40" customFormat="1" ht="28.8" x14ac:dyDescent="0.3">
      <c r="A6" s="40" t="s">
        <v>627</v>
      </c>
      <c r="B6" s="29" t="s">
        <v>18</v>
      </c>
      <c r="C6" s="97" t="s">
        <v>13</v>
      </c>
      <c r="D6" t="s">
        <v>750</v>
      </c>
      <c r="E6" s="40" t="s">
        <v>69</v>
      </c>
      <c r="F6" s="81"/>
      <c r="G6" s="102">
        <v>2</v>
      </c>
      <c r="H6" s="40" t="s">
        <v>543</v>
      </c>
      <c r="I6" s="40" t="s">
        <v>614</v>
      </c>
      <c r="N6" s="40" t="s">
        <v>632</v>
      </c>
    </row>
    <row r="7" spans="1:14" s="40" customFormat="1" ht="28.8" x14ac:dyDescent="0.3">
      <c r="A7" s="40" t="s">
        <v>628</v>
      </c>
      <c r="B7" s="29" t="s">
        <v>18</v>
      </c>
      <c r="C7" s="97" t="s">
        <v>13</v>
      </c>
      <c r="D7" t="s">
        <v>751</v>
      </c>
      <c r="E7" s="40" t="s">
        <v>610</v>
      </c>
      <c r="F7" s="81"/>
      <c r="G7" s="102">
        <v>2</v>
      </c>
      <c r="H7" s="40" t="s">
        <v>543</v>
      </c>
      <c r="I7" s="40" t="s">
        <v>614</v>
      </c>
      <c r="J7" s="40" t="s">
        <v>604</v>
      </c>
      <c r="N7" s="40" t="s">
        <v>629</v>
      </c>
    </row>
    <row r="8" spans="1:14" x14ac:dyDescent="0.3">
      <c r="D8" s="40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EFE8-2298-4809-A9B5-A90159B336A2}">
  <dimension ref="A1:Q4"/>
  <sheetViews>
    <sheetView workbookViewId="0">
      <selection activeCell="H17" sqref="H17"/>
    </sheetView>
  </sheetViews>
  <sheetFormatPr defaultColWidth="9" defaultRowHeight="14.4" x14ac:dyDescent="0.3"/>
  <cols>
    <col min="1" max="1" width="9" style="40"/>
    <col min="2" max="2" width="21.33203125" style="40" customWidth="1"/>
    <col min="3" max="3" width="19.88671875" style="40" customWidth="1"/>
    <col min="4" max="4" width="13.5546875" style="40" customWidth="1"/>
    <col min="5" max="16" width="9" style="40"/>
    <col min="17" max="17" width="21.5546875" style="40" customWidth="1"/>
    <col min="18" max="16384" width="9" style="40"/>
  </cols>
  <sheetData>
    <row r="1" spans="1:17" ht="43.8" thickBot="1" x14ac:dyDescent="0.35">
      <c r="A1" s="11" t="s">
        <v>22</v>
      </c>
      <c r="B1" s="38" t="s">
        <v>17</v>
      </c>
      <c r="C1" s="39" t="s">
        <v>41</v>
      </c>
      <c r="D1" s="45" t="s">
        <v>62</v>
      </c>
      <c r="E1" s="74" t="s">
        <v>521</v>
      </c>
      <c r="F1" s="72" t="s">
        <v>518</v>
      </c>
      <c r="G1" s="74" t="s">
        <v>522</v>
      </c>
      <c r="H1" s="73" t="s">
        <v>519</v>
      </c>
      <c r="I1" s="74" t="s">
        <v>523</v>
      </c>
      <c r="J1" s="73" t="s">
        <v>520</v>
      </c>
      <c r="K1" s="74" t="s">
        <v>524</v>
      </c>
      <c r="L1" s="76" t="s">
        <v>19</v>
      </c>
      <c r="M1" s="12" t="s">
        <v>14</v>
      </c>
      <c r="N1" s="21" t="s">
        <v>27</v>
      </c>
      <c r="O1" s="22" t="s">
        <v>29</v>
      </c>
      <c r="P1" s="23" t="s">
        <v>28</v>
      </c>
      <c r="Q1" s="47" t="s">
        <v>81</v>
      </c>
    </row>
    <row r="2" spans="1:17" ht="57.6" x14ac:dyDescent="0.3">
      <c r="A2" s="40" t="s">
        <v>525</v>
      </c>
      <c r="B2" s="29" t="s">
        <v>18</v>
      </c>
      <c r="C2" s="71" t="s">
        <v>530</v>
      </c>
      <c r="D2" s="40" t="s">
        <v>526</v>
      </c>
      <c r="E2" s="32" t="s">
        <v>43</v>
      </c>
      <c r="F2" s="40" t="s">
        <v>32</v>
      </c>
      <c r="G2" s="32" t="s">
        <v>43</v>
      </c>
      <c r="H2" s="40" t="s">
        <v>74</v>
      </c>
      <c r="I2" s="75" t="s">
        <v>64</v>
      </c>
      <c r="J2" s="40" t="s">
        <v>528</v>
      </c>
      <c r="K2" s="40" t="s">
        <v>527</v>
      </c>
      <c r="L2" s="40" t="s">
        <v>61</v>
      </c>
      <c r="M2" s="42" t="s">
        <v>532</v>
      </c>
      <c r="N2" s="31" t="s">
        <v>33</v>
      </c>
      <c r="O2" s="32" t="s">
        <v>43</v>
      </c>
      <c r="P2" s="29" t="s">
        <v>74</v>
      </c>
      <c r="Q2" s="40" t="s">
        <v>529</v>
      </c>
    </row>
    <row r="3" spans="1:17" ht="57.6" x14ac:dyDescent="0.3">
      <c r="A3" s="40" t="s">
        <v>525</v>
      </c>
      <c r="B3" s="29" t="s">
        <v>18</v>
      </c>
      <c r="C3" s="71" t="s">
        <v>530</v>
      </c>
      <c r="D3" s="40" t="s">
        <v>526</v>
      </c>
      <c r="E3" s="32" t="s">
        <v>43</v>
      </c>
      <c r="F3" s="40" t="s">
        <v>32</v>
      </c>
      <c r="G3" s="32" t="s">
        <v>43</v>
      </c>
      <c r="H3" s="40" t="s">
        <v>74</v>
      </c>
      <c r="I3" s="75" t="s">
        <v>64</v>
      </c>
      <c r="J3" s="40" t="s">
        <v>528</v>
      </c>
      <c r="K3" s="40" t="s">
        <v>527</v>
      </c>
      <c r="L3" s="40" t="s">
        <v>61</v>
      </c>
      <c r="M3" s="42" t="s">
        <v>47</v>
      </c>
    </row>
    <row r="4" spans="1:17" ht="28.8" x14ac:dyDescent="0.3">
      <c r="A4" s="40" t="s">
        <v>525</v>
      </c>
      <c r="B4" s="29" t="s">
        <v>18</v>
      </c>
      <c r="C4" s="71" t="s">
        <v>530</v>
      </c>
      <c r="D4" s="40" t="s">
        <v>526</v>
      </c>
      <c r="E4" s="32" t="s">
        <v>43</v>
      </c>
      <c r="F4" s="40" t="s">
        <v>74</v>
      </c>
      <c r="K4" s="40" t="s">
        <v>527</v>
      </c>
      <c r="L4" s="40" t="s">
        <v>61</v>
      </c>
      <c r="M4" s="42" t="s">
        <v>531</v>
      </c>
    </row>
  </sheetData>
  <phoneticPr fontId="9" type="noConversion"/>
  <hyperlinks>
    <hyperlink ref="C3" r:id="rId1" display="https://gdtusa--intqa--stratavar.sandbox.vf.force.com/a06WD00000FOWqwYAH" xr:uid="{698A36DF-FD97-401D-9A45-D35FE96767B4}"/>
    <hyperlink ref="C2" r:id="rId2" display="https://gdtusa--intqa--stratavar.sandbox.vf.force.com/a06WD00000FOWqwYAH" xr:uid="{CD3645AA-4876-476A-AAA2-8629D0CFCFEE}"/>
    <hyperlink ref="C4" r:id="rId3" display="https://gdtusa--intqa--stratavar.sandbox.vf.force.com/a06WD00000FOWqwYAH" xr:uid="{FB7A25AF-BBE0-432F-ADCD-0061CA87F488}"/>
  </hyperlinks>
  <pageMargins left="0.7" right="0.7" top="0.75" bottom="0.75" header="0.3" footer="0.3"/>
  <pageSetup orientation="portrait" horizontalDpi="4294967293" verticalDpi="0" r:id="rId4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098-97CD-442E-BBAB-54507A73C4A1}">
  <dimension ref="A1:Q8"/>
  <sheetViews>
    <sheetView workbookViewId="0">
      <selection activeCell="D13" sqref="A1:XFD1048576"/>
    </sheetView>
  </sheetViews>
  <sheetFormatPr defaultColWidth="9" defaultRowHeight="14.4" x14ac:dyDescent="0.3"/>
  <cols>
    <col min="1" max="1" width="9" style="40"/>
    <col min="2" max="2" width="21.33203125" style="40" customWidth="1"/>
    <col min="3" max="3" width="19.88671875" style="40" customWidth="1"/>
    <col min="4" max="4" width="24.6640625" style="40" customWidth="1"/>
    <col min="5" max="5" width="11.6640625" style="40" customWidth="1"/>
    <col min="6" max="13" width="9" style="40"/>
    <col min="14" max="14" width="12.109375" style="40" customWidth="1"/>
    <col min="15" max="16" width="9" style="40"/>
    <col min="17" max="17" width="21.5546875" style="40" customWidth="1"/>
    <col min="18" max="16384" width="9" style="40"/>
  </cols>
  <sheetData>
    <row r="1" spans="1:17" ht="43.8" thickBot="1" x14ac:dyDescent="0.35">
      <c r="A1" s="11" t="s">
        <v>22</v>
      </c>
      <c r="B1" s="38" t="s">
        <v>17</v>
      </c>
      <c r="C1" s="39" t="s">
        <v>41</v>
      </c>
      <c r="D1" s="45" t="s">
        <v>62</v>
      </c>
      <c r="E1" s="74" t="s">
        <v>521</v>
      </c>
      <c r="F1" s="72" t="s">
        <v>518</v>
      </c>
      <c r="G1" s="74" t="s">
        <v>522</v>
      </c>
      <c r="H1" s="73" t="s">
        <v>519</v>
      </c>
      <c r="I1" s="74" t="s">
        <v>523</v>
      </c>
      <c r="J1" s="73" t="s">
        <v>520</v>
      </c>
      <c r="K1" s="74" t="s">
        <v>524</v>
      </c>
      <c r="L1" s="76" t="s">
        <v>19</v>
      </c>
      <c r="M1" s="12" t="s">
        <v>14</v>
      </c>
      <c r="N1" s="21" t="s">
        <v>27</v>
      </c>
      <c r="O1" s="22" t="s">
        <v>29</v>
      </c>
      <c r="P1" s="23" t="s">
        <v>28</v>
      </c>
      <c r="Q1" s="47" t="s">
        <v>81</v>
      </c>
    </row>
    <row r="2" spans="1:17" ht="43.2" x14ac:dyDescent="0.3">
      <c r="A2" s="40" t="s">
        <v>598</v>
      </c>
      <c r="B2" s="29" t="s">
        <v>18</v>
      </c>
      <c r="C2" s="71" t="s">
        <v>530</v>
      </c>
      <c r="D2" s="40" t="s">
        <v>533</v>
      </c>
      <c r="E2" s="32" t="s">
        <v>43</v>
      </c>
      <c r="F2" s="40" t="s">
        <v>32</v>
      </c>
      <c r="G2" s="32"/>
      <c r="I2" s="75"/>
      <c r="M2" s="42" t="s">
        <v>73</v>
      </c>
      <c r="N2" s="31"/>
      <c r="O2" s="32"/>
      <c r="P2" s="29"/>
      <c r="Q2" s="40" t="s">
        <v>529</v>
      </c>
    </row>
    <row r="3" spans="1:17" x14ac:dyDescent="0.3">
      <c r="A3" s="40" t="s">
        <v>599</v>
      </c>
      <c r="B3" s="29" t="s">
        <v>18</v>
      </c>
      <c r="C3" s="71" t="s">
        <v>530</v>
      </c>
      <c r="D3" s="40" t="s">
        <v>677</v>
      </c>
      <c r="E3" s="32"/>
      <c r="G3" s="32" t="s">
        <v>601</v>
      </c>
      <c r="H3" s="40" t="s">
        <v>602</v>
      </c>
      <c r="I3" s="75"/>
      <c r="M3" s="42" t="s">
        <v>47</v>
      </c>
    </row>
    <row r="4" spans="1:17" ht="144" x14ac:dyDescent="0.3">
      <c r="A4" s="40" t="s">
        <v>600</v>
      </c>
      <c r="B4" s="29" t="s">
        <v>18</v>
      </c>
      <c r="C4" s="71" t="s">
        <v>530</v>
      </c>
      <c r="D4" s="40" t="s">
        <v>678</v>
      </c>
      <c r="E4" s="32"/>
      <c r="I4" s="75" t="s">
        <v>665</v>
      </c>
      <c r="J4" s="40" t="s">
        <v>534</v>
      </c>
      <c r="M4" s="42" t="s">
        <v>604</v>
      </c>
      <c r="Q4" s="75" t="s">
        <v>666</v>
      </c>
    </row>
    <row r="5" spans="1:17" x14ac:dyDescent="0.3">
      <c r="A5" s="40" t="s">
        <v>603</v>
      </c>
      <c r="B5" s="29" t="s">
        <v>18</v>
      </c>
      <c r="C5" s="71" t="s">
        <v>530</v>
      </c>
      <c r="D5" s="40" t="s">
        <v>682</v>
      </c>
      <c r="E5" s="32"/>
      <c r="I5" s="75"/>
      <c r="K5" s="75" t="s">
        <v>665</v>
      </c>
      <c r="L5" s="40" t="s">
        <v>61</v>
      </c>
      <c r="M5" s="42" t="s">
        <v>605</v>
      </c>
    </row>
    <row r="6" spans="1:17" x14ac:dyDescent="0.3">
      <c r="A6" s="40" t="s">
        <v>667</v>
      </c>
      <c r="B6" s="29" t="s">
        <v>18</v>
      </c>
      <c r="C6" s="71" t="s">
        <v>530</v>
      </c>
      <c r="D6" s="40" t="s">
        <v>679</v>
      </c>
      <c r="E6" s="32" t="s">
        <v>43</v>
      </c>
      <c r="F6" s="40" t="s">
        <v>32</v>
      </c>
      <c r="G6" s="32" t="s">
        <v>601</v>
      </c>
      <c r="H6" s="40" t="s">
        <v>668</v>
      </c>
      <c r="I6" s="75" t="s">
        <v>665</v>
      </c>
      <c r="J6" s="40" t="s">
        <v>534</v>
      </c>
      <c r="K6" s="75" t="s">
        <v>665</v>
      </c>
      <c r="L6" s="40" t="s">
        <v>61</v>
      </c>
      <c r="M6" s="42" t="s">
        <v>669</v>
      </c>
    </row>
    <row r="7" spans="1:17" ht="115.2" x14ac:dyDescent="0.3">
      <c r="A7" s="40" t="s">
        <v>670</v>
      </c>
      <c r="B7" s="29" t="s">
        <v>18</v>
      </c>
      <c r="C7" s="71" t="s">
        <v>530</v>
      </c>
      <c r="D7" s="40" t="s">
        <v>680</v>
      </c>
      <c r="G7" s="32" t="s">
        <v>601</v>
      </c>
      <c r="H7" s="40" t="s">
        <v>668</v>
      </c>
      <c r="I7" s="75"/>
      <c r="M7" s="42" t="s">
        <v>605</v>
      </c>
      <c r="N7" t="s">
        <v>671</v>
      </c>
      <c r="O7" s="130" t="s">
        <v>672</v>
      </c>
      <c r="P7" s="29">
        <v>0</v>
      </c>
      <c r="Q7" s="75" t="s">
        <v>673</v>
      </c>
    </row>
    <row r="8" spans="1:17" ht="28.8" x14ac:dyDescent="0.3">
      <c r="A8" s="40" t="s">
        <v>674</v>
      </c>
      <c r="B8" s="29" t="s">
        <v>18</v>
      </c>
      <c r="C8" s="71" t="s">
        <v>530</v>
      </c>
      <c r="D8" s="40" t="s">
        <v>681</v>
      </c>
      <c r="I8" s="75" t="s">
        <v>665</v>
      </c>
      <c r="J8" s="40" t="s">
        <v>534</v>
      </c>
      <c r="M8" s="42" t="s">
        <v>604</v>
      </c>
      <c r="N8" s="40" t="s">
        <v>675</v>
      </c>
      <c r="O8" s="75" t="s">
        <v>676</v>
      </c>
      <c r="P8" s="40">
        <v>100</v>
      </c>
    </row>
  </sheetData>
  <autoFilter ref="D1:D8" xr:uid="{2276C098-97CD-442E-BBAB-54507A73C4A1}"/>
  <phoneticPr fontId="9" type="noConversion"/>
  <hyperlinks>
    <hyperlink ref="C4" r:id="rId1" display="https://gdtusa--intqa--stratavar.sandbox.vf.force.com/a06WD00000FOWqwYAH" xr:uid="{677C99A3-F9CE-4170-A00F-2A8E3EE02092}"/>
    <hyperlink ref="C3" r:id="rId2" display="https://gdtusa--intqa--stratavar.sandbox.vf.force.com/a06WD00000FOWqwYAH" xr:uid="{7A3E1F86-1978-4A07-A6D5-E618A837FEC3}"/>
    <hyperlink ref="C5" r:id="rId3" display="https://gdtusa--intqa--stratavar.sandbox.vf.force.com/a06WD00000FOWqwYAH" xr:uid="{2DB53673-12C2-4765-925A-B21D43A3FD9F}"/>
    <hyperlink ref="C6" r:id="rId4" display="https://gdtusa--intqa--stratavar.sandbox.vf.force.com/a06WD00000FOWqwYAH" xr:uid="{BA4DD8DE-A973-49CD-BAF4-99DF8F9E2822}"/>
    <hyperlink ref="C7" r:id="rId5" display="https://gdtusa--intqa--stratavar.sandbox.vf.force.com/a06WD00000FOWqwYAH" xr:uid="{B2BC8037-922C-4CCF-BAAF-6AA3AA4A26D1}"/>
    <hyperlink ref="C8" r:id="rId6" display="https://gdtusa--intqa--stratavar.sandbox.vf.force.com/a06WD00000FOWqwYAH" xr:uid="{E36A3161-5A7A-42C8-AA85-86118CAAE387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5ECC-5A57-48FF-B4EE-3E3EC70FAD1D}">
  <dimension ref="A1:Q8"/>
  <sheetViews>
    <sheetView workbookViewId="0">
      <selection activeCell="E20" sqref="E20"/>
    </sheetView>
  </sheetViews>
  <sheetFormatPr defaultColWidth="9" defaultRowHeight="14.4" x14ac:dyDescent="0.3"/>
  <cols>
    <col min="1" max="1" width="9" style="40"/>
    <col min="2" max="2" width="21.33203125" style="40" customWidth="1"/>
    <col min="3" max="3" width="19.88671875" style="40" customWidth="1"/>
    <col min="4" max="4" width="24.6640625" style="40" customWidth="1"/>
    <col min="5" max="5" width="11.6640625" style="40" customWidth="1"/>
    <col min="6" max="13" width="9" style="40"/>
    <col min="14" max="14" width="12.109375" style="40" customWidth="1"/>
    <col min="15" max="16" width="9" style="40"/>
    <col min="17" max="17" width="21.5546875" style="40" customWidth="1"/>
    <col min="18" max="16384" width="9" style="40"/>
  </cols>
  <sheetData>
    <row r="1" spans="1:17" ht="43.8" thickBot="1" x14ac:dyDescent="0.35">
      <c r="A1" s="11" t="s">
        <v>22</v>
      </c>
      <c r="B1" s="38" t="s">
        <v>17</v>
      </c>
      <c r="C1" s="39" t="s">
        <v>41</v>
      </c>
      <c r="D1" s="45" t="s">
        <v>62</v>
      </c>
      <c r="E1" s="74" t="s">
        <v>521</v>
      </c>
      <c r="F1" s="72" t="s">
        <v>518</v>
      </c>
      <c r="G1" s="74" t="s">
        <v>522</v>
      </c>
      <c r="H1" s="73" t="s">
        <v>519</v>
      </c>
      <c r="I1" s="74" t="s">
        <v>523</v>
      </c>
      <c r="J1" s="73" t="s">
        <v>520</v>
      </c>
      <c r="K1" s="74" t="s">
        <v>524</v>
      </c>
      <c r="L1" s="76" t="s">
        <v>19</v>
      </c>
      <c r="M1" s="12" t="s">
        <v>14</v>
      </c>
      <c r="N1" s="21" t="s">
        <v>27</v>
      </c>
      <c r="O1" s="22" t="s">
        <v>29</v>
      </c>
      <c r="P1" s="23" t="s">
        <v>28</v>
      </c>
      <c r="Q1" s="47" t="s">
        <v>81</v>
      </c>
    </row>
    <row r="2" spans="1:17" ht="43.2" x14ac:dyDescent="0.3">
      <c r="A2" s="40" t="s">
        <v>598</v>
      </c>
      <c r="B2" s="29" t="s">
        <v>18</v>
      </c>
      <c r="C2" s="71" t="s">
        <v>530</v>
      </c>
      <c r="D2" t="s">
        <v>746</v>
      </c>
      <c r="E2" s="32" t="s">
        <v>43</v>
      </c>
      <c r="F2" s="40" t="s">
        <v>32</v>
      </c>
      <c r="G2" s="32"/>
      <c r="I2" s="75"/>
      <c r="M2" s="42" t="s">
        <v>73</v>
      </c>
      <c r="N2" s="31"/>
      <c r="O2" s="32"/>
      <c r="P2" s="29"/>
      <c r="Q2" s="40" t="s">
        <v>529</v>
      </c>
    </row>
    <row r="3" spans="1:17" x14ac:dyDescent="0.3">
      <c r="A3" s="40" t="s">
        <v>599</v>
      </c>
      <c r="B3" s="29" t="s">
        <v>18</v>
      </c>
      <c r="C3" s="71" t="s">
        <v>530</v>
      </c>
      <c r="D3" t="s">
        <v>747</v>
      </c>
      <c r="E3" s="32"/>
      <c r="G3" s="32" t="s">
        <v>601</v>
      </c>
      <c r="H3" s="40" t="s">
        <v>602</v>
      </c>
      <c r="I3" s="75"/>
      <c r="M3" s="42" t="s">
        <v>47</v>
      </c>
    </row>
    <row r="4" spans="1:17" ht="144" x14ac:dyDescent="0.3">
      <c r="A4" t="s">
        <v>600</v>
      </c>
      <c r="B4" s="29" t="s">
        <v>18</v>
      </c>
      <c r="C4" s="71" t="s">
        <v>530</v>
      </c>
      <c r="D4" t="s">
        <v>748</v>
      </c>
      <c r="E4" s="32"/>
      <c r="I4" s="75" t="s">
        <v>665</v>
      </c>
      <c r="J4" s="40" t="s">
        <v>534</v>
      </c>
      <c r="M4" s="42" t="s">
        <v>604</v>
      </c>
      <c r="Q4" s="75" t="s">
        <v>666</v>
      </c>
    </row>
    <row r="5" spans="1:17" x14ac:dyDescent="0.3">
      <c r="A5" s="40" t="s">
        <v>603</v>
      </c>
      <c r="B5" s="29" t="s">
        <v>18</v>
      </c>
      <c r="C5" s="71" t="s">
        <v>530</v>
      </c>
      <c r="D5" t="s">
        <v>749</v>
      </c>
      <c r="E5" s="32"/>
      <c r="I5" s="75"/>
      <c r="K5" s="75" t="s">
        <v>665</v>
      </c>
      <c r="L5" s="40" t="s">
        <v>61</v>
      </c>
      <c r="M5" s="42" t="s">
        <v>605</v>
      </c>
    </row>
    <row r="6" spans="1:17" x14ac:dyDescent="0.3">
      <c r="A6" t="s">
        <v>667</v>
      </c>
      <c r="B6" s="29" t="s">
        <v>18</v>
      </c>
      <c r="C6" s="71" t="s">
        <v>530</v>
      </c>
      <c r="D6" t="s">
        <v>746</v>
      </c>
      <c r="E6" s="32" t="s">
        <v>43</v>
      </c>
      <c r="F6" s="40" t="s">
        <v>32</v>
      </c>
      <c r="G6" s="32" t="s">
        <v>601</v>
      </c>
      <c r="H6" s="40" t="s">
        <v>668</v>
      </c>
      <c r="I6" s="75" t="s">
        <v>665</v>
      </c>
      <c r="J6" s="40" t="s">
        <v>534</v>
      </c>
      <c r="K6" s="75" t="s">
        <v>665</v>
      </c>
      <c r="L6" s="40" t="s">
        <v>61</v>
      </c>
      <c r="M6" s="42" t="s">
        <v>669</v>
      </c>
    </row>
    <row r="7" spans="1:17" ht="115.2" x14ac:dyDescent="0.3">
      <c r="A7" s="40" t="s">
        <v>670</v>
      </c>
      <c r="B7" s="29" t="s">
        <v>18</v>
      </c>
      <c r="C7" s="71" t="s">
        <v>530</v>
      </c>
      <c r="D7" t="s">
        <v>747</v>
      </c>
      <c r="G7" s="32" t="s">
        <v>601</v>
      </c>
      <c r="H7" s="40" t="s">
        <v>668</v>
      </c>
      <c r="I7" s="75"/>
      <c r="M7" s="42" t="s">
        <v>605</v>
      </c>
      <c r="N7" t="s">
        <v>671</v>
      </c>
      <c r="O7" s="130" t="s">
        <v>672</v>
      </c>
      <c r="P7" s="29">
        <v>0</v>
      </c>
      <c r="Q7" s="75" t="s">
        <v>673</v>
      </c>
    </row>
    <row r="8" spans="1:17" ht="28.8" x14ac:dyDescent="0.3">
      <c r="A8" t="s">
        <v>674</v>
      </c>
      <c r="B8" s="29" t="s">
        <v>18</v>
      </c>
      <c r="C8" s="71" t="s">
        <v>530</v>
      </c>
      <c r="D8" t="s">
        <v>748</v>
      </c>
      <c r="I8" s="75" t="s">
        <v>665</v>
      </c>
      <c r="J8" s="40" t="s">
        <v>534</v>
      </c>
      <c r="M8" s="42" t="s">
        <v>604</v>
      </c>
      <c r="N8" s="40" t="s">
        <v>675</v>
      </c>
      <c r="O8" s="75" t="s">
        <v>676</v>
      </c>
      <c r="P8" s="40">
        <v>100</v>
      </c>
    </row>
  </sheetData>
  <hyperlinks>
    <hyperlink ref="C4" r:id="rId1" display="https://gdtusa--intqa--stratavar.sandbox.vf.force.com/a06WD00000FOWqwYAH" xr:uid="{9371C49E-DA13-4D7B-B4AC-C8566DC249F7}"/>
    <hyperlink ref="C3" r:id="rId2" display="https://gdtusa--intqa--stratavar.sandbox.vf.force.com/a06WD00000FOWqwYAH" xr:uid="{CE5ADC69-2F14-4D09-AA60-E5284D8AC665}"/>
    <hyperlink ref="C5" r:id="rId3" display="https://gdtusa--intqa--stratavar.sandbox.vf.force.com/a06WD00000FOWqwYAH" xr:uid="{3C57BCDD-7549-43B7-A806-DAA12AE938ED}"/>
    <hyperlink ref="C6" r:id="rId4" display="https://gdtusa--intqa--stratavar.sandbox.vf.force.com/a06WD00000FOWqwYAH" xr:uid="{C66FB36A-3BE0-4867-937D-A7BF87768423}"/>
    <hyperlink ref="C7" r:id="rId5" display="https://gdtusa--intqa--stratavar.sandbox.vf.force.com/a06WD00000FOWqwYAH" xr:uid="{2B75022D-2559-4332-841E-07541AFD0D72}"/>
    <hyperlink ref="C8" r:id="rId6" display="https://gdtusa--intqa--stratavar.sandbox.vf.force.com/a06WD00000FOWqwYAH" xr:uid="{CD61294A-50F6-4195-B4D5-41705E7C61AD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39E5-0D54-4630-9A7D-5ADCC01A1BF9}">
  <dimension ref="A1:N8"/>
  <sheetViews>
    <sheetView workbookViewId="0">
      <selection activeCell="S38" sqref="S38"/>
    </sheetView>
  </sheetViews>
  <sheetFormatPr defaultRowHeight="14.4" x14ac:dyDescent="0.3"/>
  <cols>
    <col min="1" max="1" width="8.33203125" bestFit="1" customWidth="1"/>
    <col min="2" max="2" width="16.88671875" bestFit="1" customWidth="1"/>
    <col min="3" max="3" width="10.44140625" bestFit="1" customWidth="1"/>
    <col min="4" max="5" width="22.88671875" customWidth="1"/>
    <col min="6" max="6" width="16.5546875" customWidth="1"/>
    <col min="7" max="7" width="15.5546875" customWidth="1"/>
    <col min="8" max="8" width="22.5546875" customWidth="1"/>
    <col min="9" max="13" width="12" customWidth="1"/>
    <col min="14" max="14" width="34.109375" customWidth="1"/>
  </cols>
  <sheetData>
    <row r="1" spans="1:14" s="40" customFormat="1" ht="43.8" thickBot="1" x14ac:dyDescent="0.35">
      <c r="A1" s="98" t="s">
        <v>22</v>
      </c>
      <c r="B1" s="12" t="s">
        <v>17</v>
      </c>
      <c r="C1" s="14" t="s">
        <v>41</v>
      </c>
      <c r="D1" s="100" t="s">
        <v>62</v>
      </c>
      <c r="E1" s="101" t="s">
        <v>66</v>
      </c>
      <c r="F1" s="101" t="s">
        <v>608</v>
      </c>
      <c r="G1" s="101" t="s">
        <v>611</v>
      </c>
      <c r="H1" s="101" t="s">
        <v>612</v>
      </c>
      <c r="I1" s="101" t="s">
        <v>613</v>
      </c>
      <c r="J1" s="101" t="s">
        <v>616</v>
      </c>
      <c r="K1" s="101" t="s">
        <v>617</v>
      </c>
      <c r="L1" s="101" t="s">
        <v>622</v>
      </c>
      <c r="M1" s="103" t="s">
        <v>624</v>
      </c>
      <c r="N1" s="99" t="s">
        <v>81</v>
      </c>
    </row>
    <row r="2" spans="1:14" s="40" customFormat="1" ht="48.75" customHeight="1" x14ac:dyDescent="0.3">
      <c r="A2" s="40" t="s">
        <v>606</v>
      </c>
      <c r="B2" s="29" t="s">
        <v>18</v>
      </c>
      <c r="C2" s="97" t="s">
        <v>13</v>
      </c>
      <c r="D2" s="40" t="s">
        <v>533</v>
      </c>
      <c r="E2" s="40" t="s">
        <v>610</v>
      </c>
      <c r="F2" s="40" t="s">
        <v>609</v>
      </c>
      <c r="G2" s="102">
        <v>2</v>
      </c>
      <c r="H2" s="40" t="s">
        <v>543</v>
      </c>
      <c r="I2" s="40" t="s">
        <v>614</v>
      </c>
      <c r="J2" s="81"/>
      <c r="K2" s="81"/>
      <c r="L2" s="81"/>
      <c r="M2" s="81"/>
      <c r="N2" s="40" t="s">
        <v>630</v>
      </c>
    </row>
    <row r="3" spans="1:14" s="40" customFormat="1" ht="28.8" x14ac:dyDescent="0.3">
      <c r="A3" s="40" t="s">
        <v>615</v>
      </c>
      <c r="B3" s="29" t="s">
        <v>18</v>
      </c>
      <c r="C3" s="97" t="s">
        <v>13</v>
      </c>
      <c r="D3" s="40" t="s">
        <v>677</v>
      </c>
      <c r="E3" s="40" t="s">
        <v>610</v>
      </c>
      <c r="F3" s="81"/>
      <c r="G3" s="102">
        <v>2</v>
      </c>
      <c r="H3" s="40" t="s">
        <v>543</v>
      </c>
      <c r="J3" s="40" t="s">
        <v>619</v>
      </c>
      <c r="K3" s="40" t="s">
        <v>618</v>
      </c>
      <c r="N3" s="40" t="s">
        <v>631</v>
      </c>
    </row>
    <row r="4" spans="1:14" s="40" customFormat="1" ht="28.8" x14ac:dyDescent="0.3">
      <c r="A4" s="40" t="s">
        <v>620</v>
      </c>
      <c r="B4" s="29" t="s">
        <v>18</v>
      </c>
      <c r="C4" s="97" t="s">
        <v>13</v>
      </c>
      <c r="D4" s="40" t="s">
        <v>678</v>
      </c>
      <c r="E4" s="40" t="s">
        <v>610</v>
      </c>
      <c r="F4" s="81"/>
      <c r="G4" s="102">
        <v>2</v>
      </c>
      <c r="H4" s="40" t="s">
        <v>544</v>
      </c>
      <c r="L4" s="40" t="s">
        <v>623</v>
      </c>
      <c r="M4" s="29" t="s">
        <v>18</v>
      </c>
      <c r="N4" s="40" t="s">
        <v>621</v>
      </c>
    </row>
    <row r="5" spans="1:14" s="40" customFormat="1" ht="28.8" x14ac:dyDescent="0.3">
      <c r="A5" s="40" t="s">
        <v>625</v>
      </c>
      <c r="B5" s="29" t="s">
        <v>18</v>
      </c>
      <c r="C5" s="97" t="s">
        <v>13</v>
      </c>
      <c r="D5" s="40" t="s">
        <v>682</v>
      </c>
      <c r="E5" s="40" t="s">
        <v>610</v>
      </c>
      <c r="F5" s="81"/>
      <c r="G5" s="102">
        <v>2</v>
      </c>
      <c r="H5" s="40" t="s">
        <v>544</v>
      </c>
      <c r="L5" s="40" t="s">
        <v>623</v>
      </c>
      <c r="M5" s="29" t="s">
        <v>18</v>
      </c>
      <c r="N5" s="40" t="s">
        <v>626</v>
      </c>
    </row>
    <row r="6" spans="1:14" s="40" customFormat="1" ht="28.8" x14ac:dyDescent="0.3">
      <c r="A6" s="40" t="s">
        <v>627</v>
      </c>
      <c r="B6" s="29" t="s">
        <v>18</v>
      </c>
      <c r="C6" s="97" t="s">
        <v>13</v>
      </c>
      <c r="D6" s="40" t="s">
        <v>679</v>
      </c>
      <c r="E6" s="40" t="s">
        <v>69</v>
      </c>
      <c r="F6" s="81"/>
      <c r="G6" s="102">
        <v>2</v>
      </c>
      <c r="H6" s="40" t="s">
        <v>543</v>
      </c>
      <c r="I6" s="40" t="s">
        <v>614</v>
      </c>
      <c r="N6" s="40" t="s">
        <v>632</v>
      </c>
    </row>
    <row r="7" spans="1:14" s="40" customFormat="1" ht="28.8" x14ac:dyDescent="0.3">
      <c r="A7" s="40" t="s">
        <v>628</v>
      </c>
      <c r="B7" s="29" t="s">
        <v>18</v>
      </c>
      <c r="C7" s="97" t="s">
        <v>13</v>
      </c>
      <c r="D7" s="40" t="s">
        <v>680</v>
      </c>
      <c r="E7" s="40" t="s">
        <v>610</v>
      </c>
      <c r="F7" s="81"/>
      <c r="G7" s="102">
        <v>2</v>
      </c>
      <c r="H7" s="40" t="s">
        <v>543</v>
      </c>
      <c r="I7" s="40" t="s">
        <v>614</v>
      </c>
      <c r="J7" s="40" t="s">
        <v>604</v>
      </c>
      <c r="N7" s="40" t="s">
        <v>629</v>
      </c>
    </row>
    <row r="8" spans="1:14" x14ac:dyDescent="0.3">
      <c r="D8" s="40"/>
    </row>
  </sheetData>
  <phoneticPr fontId="9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DE7D-4022-4C37-ADD3-5EF468265D2F}">
  <dimension ref="A1:Y5"/>
  <sheetViews>
    <sheetView workbookViewId="0">
      <selection activeCell="D14" sqref="D14"/>
    </sheetView>
  </sheetViews>
  <sheetFormatPr defaultColWidth="9" defaultRowHeight="14.4" x14ac:dyDescent="0.3"/>
  <cols>
    <col min="1" max="4" width="19.5546875" style="29" customWidth="1"/>
    <col min="5" max="5" width="15.44140625" style="29" customWidth="1"/>
    <col min="6" max="8" width="23.5546875" style="29" customWidth="1"/>
    <col min="9" max="9" width="17" style="29" customWidth="1"/>
    <col min="10" max="10" width="26.5546875" style="29" customWidth="1"/>
    <col min="11" max="11" width="20.44140625" style="29" customWidth="1"/>
    <col min="12" max="12" width="19.88671875" style="29" customWidth="1"/>
    <col min="13" max="13" width="13.5546875" style="29" customWidth="1"/>
    <col min="14" max="16384" width="9" style="29"/>
  </cols>
  <sheetData>
    <row r="1" spans="1:25" s="28" customFormat="1" ht="72.599999999999994" thickBot="1" x14ac:dyDescent="0.35">
      <c r="A1" s="17" t="s">
        <v>22</v>
      </c>
      <c r="B1" s="45" t="s">
        <v>62</v>
      </c>
      <c r="C1" s="18" t="s">
        <v>17</v>
      </c>
      <c r="D1" s="19" t="s">
        <v>41</v>
      </c>
      <c r="E1" s="20" t="s">
        <v>21</v>
      </c>
      <c r="F1" s="21" t="s">
        <v>27</v>
      </c>
      <c r="G1" s="22" t="s">
        <v>29</v>
      </c>
      <c r="H1" s="23" t="s">
        <v>28</v>
      </c>
      <c r="I1" s="24" t="s">
        <v>14</v>
      </c>
      <c r="J1" s="25" t="s">
        <v>15</v>
      </c>
      <c r="K1" s="26" t="s">
        <v>16</v>
      </c>
      <c r="L1" s="24" t="s">
        <v>12</v>
      </c>
      <c r="M1" s="51" t="s">
        <v>107</v>
      </c>
      <c r="N1" s="27" t="s">
        <v>11</v>
      </c>
      <c r="O1" s="27" t="s">
        <v>10</v>
      </c>
      <c r="P1" s="25" t="s">
        <v>0</v>
      </c>
      <c r="Q1" s="25" t="s">
        <v>1</v>
      </c>
      <c r="R1" s="25" t="s">
        <v>2</v>
      </c>
      <c r="S1" s="25" t="s">
        <v>3</v>
      </c>
      <c r="T1" s="25" t="s">
        <v>4</v>
      </c>
      <c r="U1" s="25" t="s">
        <v>5</v>
      </c>
      <c r="V1" s="25" t="s">
        <v>6</v>
      </c>
      <c r="W1" s="25" t="s">
        <v>7</v>
      </c>
      <c r="X1" s="25" t="s">
        <v>8</v>
      </c>
      <c r="Y1" s="26" t="s">
        <v>9</v>
      </c>
    </row>
    <row r="2" spans="1:25" x14ac:dyDescent="0.3">
      <c r="A2" s="29" t="s">
        <v>20</v>
      </c>
      <c r="B2" s="41" t="s">
        <v>63</v>
      </c>
      <c r="C2" s="29" t="s">
        <v>18</v>
      </c>
      <c r="D2" s="30" t="s">
        <v>13</v>
      </c>
      <c r="E2" s="29" t="s">
        <v>30</v>
      </c>
      <c r="F2" s="31" t="s">
        <v>31</v>
      </c>
      <c r="G2" s="32" t="s">
        <v>65</v>
      </c>
      <c r="H2" s="29" t="s">
        <v>61</v>
      </c>
      <c r="I2" s="29">
        <v>0</v>
      </c>
      <c r="J2" s="29" t="s">
        <v>39</v>
      </c>
      <c r="K2" s="29">
        <v>50</v>
      </c>
      <c r="L2" s="29">
        <v>55275</v>
      </c>
      <c r="N2" s="29">
        <v>1</v>
      </c>
      <c r="O2" s="29">
        <f>N2*L2</f>
        <v>55275</v>
      </c>
      <c r="P2" s="33">
        <v>50</v>
      </c>
      <c r="Q2" s="34">
        <f>L2*(1-P2/100)</f>
        <v>27637.5</v>
      </c>
      <c r="R2" s="34">
        <f>Q2*N2</f>
        <v>27637.5</v>
      </c>
      <c r="S2" s="34">
        <v>56</v>
      </c>
      <c r="T2" s="34">
        <v>127.27</v>
      </c>
      <c r="U2" s="34">
        <v>35175</v>
      </c>
      <c r="V2" s="34">
        <v>35175</v>
      </c>
      <c r="W2" s="34">
        <v>-13.64</v>
      </c>
      <c r="X2" s="34">
        <v>62812.5</v>
      </c>
      <c r="Y2" s="34">
        <f>X2*N2</f>
        <v>62812.5</v>
      </c>
    </row>
    <row r="3" spans="1:25" x14ac:dyDescent="0.3">
      <c r="A3" s="29" t="s">
        <v>24</v>
      </c>
      <c r="B3" s="41" t="s">
        <v>63</v>
      </c>
      <c r="C3" s="29" t="s">
        <v>18</v>
      </c>
      <c r="D3" s="30" t="s">
        <v>13</v>
      </c>
      <c r="E3" s="29" t="s">
        <v>30</v>
      </c>
      <c r="F3" s="31" t="s">
        <v>31</v>
      </c>
      <c r="G3" s="32" t="s">
        <v>64</v>
      </c>
      <c r="H3" s="29" t="s">
        <v>60</v>
      </c>
      <c r="I3" s="29">
        <v>0</v>
      </c>
      <c r="J3" s="29" t="s">
        <v>39</v>
      </c>
      <c r="K3" s="29">
        <v>50</v>
      </c>
      <c r="L3" s="29">
        <v>55275</v>
      </c>
      <c r="N3" s="29">
        <v>1</v>
      </c>
      <c r="O3" s="29">
        <f>N3*L3</f>
        <v>55275</v>
      </c>
      <c r="P3" s="33">
        <v>50</v>
      </c>
      <c r="Q3" s="34">
        <f>L3*(1-P3/100)</f>
        <v>27637.5</v>
      </c>
      <c r="R3" s="34">
        <f>Q3*N3</f>
        <v>27637.5</v>
      </c>
      <c r="S3" s="34">
        <v>56</v>
      </c>
      <c r="T3" s="34">
        <v>127.27</v>
      </c>
      <c r="U3" s="34">
        <v>35175</v>
      </c>
      <c r="V3" s="34">
        <v>35175</v>
      </c>
      <c r="W3" s="34">
        <v>-13.64</v>
      </c>
      <c r="X3" s="34">
        <v>62812.5</v>
      </c>
      <c r="Y3" s="34">
        <f>X3*N3</f>
        <v>62812.5</v>
      </c>
    </row>
    <row r="4" spans="1:25" x14ac:dyDescent="0.3">
      <c r="A4" s="29" t="s">
        <v>25</v>
      </c>
      <c r="B4" s="41" t="s">
        <v>63</v>
      </c>
      <c r="C4" s="29" t="s">
        <v>18</v>
      </c>
      <c r="D4" s="30" t="s">
        <v>13</v>
      </c>
      <c r="E4" s="29" t="s">
        <v>30</v>
      </c>
      <c r="F4" s="31" t="s">
        <v>33</v>
      </c>
      <c r="G4" s="32" t="s">
        <v>43</v>
      </c>
      <c r="H4" s="29" t="s">
        <v>32</v>
      </c>
      <c r="I4" s="29">
        <v>1</v>
      </c>
      <c r="J4" s="29" t="s">
        <v>40</v>
      </c>
      <c r="K4" s="29">
        <v>5</v>
      </c>
      <c r="L4" s="29">
        <v>46.15</v>
      </c>
      <c r="N4" s="35">
        <v>5</v>
      </c>
      <c r="O4" s="29">
        <f>N4*L4</f>
        <v>230.75</v>
      </c>
      <c r="P4" s="34">
        <v>60.39</v>
      </c>
      <c r="Q4" s="34">
        <f>L4*(1-P4/100)</f>
        <v>18.280014999999999</v>
      </c>
      <c r="R4" s="34">
        <f>Q4*N4</f>
        <v>91.400074999999987</v>
      </c>
      <c r="S4" s="34">
        <f>V4/Y4*100</f>
        <v>60.390000000000008</v>
      </c>
      <c r="T4" s="34">
        <f>V4/R4*100</f>
        <v>152.46149962130778</v>
      </c>
      <c r="U4" s="34">
        <f>V4/N4</f>
        <v>27.869985000000003</v>
      </c>
      <c r="V4" s="34">
        <f>Y4-R4</f>
        <v>139.34992500000001</v>
      </c>
      <c r="W4" s="34">
        <v>0</v>
      </c>
      <c r="X4" s="34">
        <f>L4*(1-W4/100)</f>
        <v>46.15</v>
      </c>
      <c r="Y4" s="34">
        <f>X4*N4</f>
        <v>230.75</v>
      </c>
    </row>
    <row r="5" spans="1:25" x14ac:dyDescent="0.3">
      <c r="A5" s="29" t="s">
        <v>26</v>
      </c>
      <c r="B5" s="41" t="s">
        <v>63</v>
      </c>
      <c r="C5" s="29" t="s">
        <v>18</v>
      </c>
      <c r="D5" s="30" t="s">
        <v>13</v>
      </c>
      <c r="E5" s="29" t="s">
        <v>30</v>
      </c>
      <c r="F5" s="31" t="s">
        <v>33</v>
      </c>
      <c r="G5" s="32" t="s">
        <v>43</v>
      </c>
      <c r="H5" s="29" t="s">
        <v>42</v>
      </c>
      <c r="I5" s="29">
        <v>15</v>
      </c>
      <c r="J5" s="29" t="s">
        <v>39</v>
      </c>
      <c r="K5" s="29">
        <v>60.39</v>
      </c>
      <c r="L5" s="29">
        <v>542.80999999999995</v>
      </c>
      <c r="N5" s="36">
        <v>12</v>
      </c>
      <c r="O5" s="29">
        <f>N5*L5</f>
        <v>6513.7199999999993</v>
      </c>
      <c r="P5" s="37">
        <v>60.39</v>
      </c>
      <c r="Q5" s="34">
        <f>L5*(1-P5/100)</f>
        <v>215.00704099999999</v>
      </c>
      <c r="R5" s="34">
        <f>Q5*N5</f>
        <v>2580.084492</v>
      </c>
      <c r="S5" s="34">
        <f>V5/Y5*100</f>
        <v>0</v>
      </c>
      <c r="T5" s="34">
        <f>V5/R5*100</f>
        <v>0</v>
      </c>
      <c r="U5" s="34">
        <f>V5/N5</f>
        <v>0</v>
      </c>
      <c r="V5" s="34">
        <f>Y5-R5</f>
        <v>0</v>
      </c>
      <c r="W5" s="34">
        <v>60.39</v>
      </c>
      <c r="X5" s="34">
        <f>L5*(1-W5/100)</f>
        <v>215.00704099999999</v>
      </c>
      <c r="Y5" s="34">
        <f>X5*N5</f>
        <v>2580.084492</v>
      </c>
    </row>
  </sheetData>
  <hyperlinks>
    <hyperlink ref="D4:D5" r:id="rId1" display="https://st1723635638241--stratavar.vf.force.com/a8Fbn000001CRgbEAG" xr:uid="{9060078A-0FE0-4369-96E1-951AB6897ED1}"/>
    <hyperlink ref="D2" r:id="rId2" display="https://st1723635638241--stratavar.vf.force.com/a8Fbn000001CRgbEAG" xr:uid="{0E210B43-3684-44EE-B829-96305899E6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EQG Calculation</vt:lpstr>
      <vt:lpstr>EQG 3v9</vt:lpstr>
      <vt:lpstr>EQG Data with Item Types</vt:lpstr>
      <vt:lpstr>EQG Calculation 2</vt:lpstr>
      <vt:lpstr>EQG Demo Int qa</vt:lpstr>
      <vt:lpstr>EQG DemoSales</vt:lpstr>
      <vt:lpstr>Bulk Edit Demo Int qa</vt:lpstr>
      <vt:lpstr>Bulk Edit Demo Sales</vt:lpstr>
      <vt:lpstr>EQG Test Dataset</vt:lpstr>
      <vt:lpstr>Bulk Edit</vt:lpstr>
      <vt:lpstr>Bulk Edit 3v9</vt:lpstr>
      <vt:lpstr>Bulk Edit 2</vt:lpstr>
      <vt:lpstr>Split Boxes</vt:lpstr>
      <vt:lpstr>Split Boxes 2</vt:lpstr>
      <vt:lpstr>Split Boxes 3v9</vt:lpstr>
      <vt:lpstr>Set Grouping</vt:lpstr>
      <vt:lpstr>Set Grouping 3v9</vt:lpstr>
      <vt:lpstr>Set Groupping Demo Int qa</vt:lpstr>
      <vt:lpstr>Set Groupping Demo Sales</vt:lpstr>
      <vt:lpstr>Split Box Demo Int qa</vt:lpstr>
      <vt:lpstr>Split Box Demo Sales</vt:lpstr>
      <vt:lpstr>Master Item  Demo Int qa</vt:lpstr>
      <vt:lpstr>Master Item Demo Sales</vt:lpstr>
      <vt:lpstr>ShipTo</vt:lpstr>
      <vt:lpstr>ShipTo 3v9</vt:lpstr>
      <vt:lpstr>ShipTo Backup</vt:lpstr>
      <vt:lpstr>ShipTo Single Tests</vt:lpstr>
      <vt:lpstr>ShipTo Single Tests 3v9</vt:lpstr>
      <vt:lpstr>Ship To Demo Int Qa</vt:lpstr>
      <vt:lpstr>Ship To DemoSales</vt:lpstr>
      <vt:lpstr>Ship to Single demo Int qa</vt:lpstr>
      <vt:lpstr>Ship to Single demoSales</vt:lpstr>
      <vt:lpstr>Supplier</vt:lpstr>
      <vt:lpstr>Supplier 3v9</vt:lpstr>
      <vt:lpstr>Supplier Single Tests</vt:lpstr>
      <vt:lpstr>Supplier Single Tests 3v9</vt:lpstr>
      <vt:lpstr>Supplier Demo int QA</vt:lpstr>
      <vt:lpstr>Supplier DemoSales</vt:lpstr>
      <vt:lpstr>Supplier Single Demo Int QA</vt:lpstr>
      <vt:lpstr>Supplier Single DemoSales</vt:lpstr>
      <vt:lpstr>Clone Boxes Demo Int qa</vt:lpstr>
      <vt:lpstr>CloneBox DemoSales</vt:lpstr>
      <vt:lpstr>Clone Boxes 3v9</vt:lpstr>
      <vt:lpstr>Master Item GDT</vt:lpstr>
      <vt:lpstr>Master Item</vt:lpstr>
      <vt:lpstr>Master Item 3v9</vt:lpstr>
      <vt:lpstr>Clone Boxes</vt:lpstr>
      <vt:lpstr>Data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Sitangshu Mondal</dc:creator>
  <cp:lastModifiedBy>Soupra Maity</cp:lastModifiedBy>
  <dcterms:created xsi:type="dcterms:W3CDTF">2025-05-19T12:24:35Z</dcterms:created>
  <dcterms:modified xsi:type="dcterms:W3CDTF">2026-08-24T07:57:01Z</dcterms:modified>
</cp:coreProperties>
</file>